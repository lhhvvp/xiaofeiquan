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1号车" sheetId="1" r:id="rId1"/>
  </sheets>
  <externalReferences>
    <externalReference r:id="rId2"/>
    <externalReference r:id="rId3"/>
  </externalReferences>
  <definedNames>
    <definedName name="_xlnm._FilterDatabase" localSheetId="0" hidden="1">'1号车'!$A$2:$M$51</definedName>
  </definedNames>
  <calcPr calcId="144525"/>
</workbook>
</file>

<file path=xl/sharedStrings.xml><?xml version="1.0" encoding="utf-8"?>
<sst xmlns="http://schemas.openxmlformats.org/spreadsheetml/2006/main" count="330" uniqueCount="139">
  <si>
    <t>陕北旅游名单-柳溪-体育路</t>
  </si>
  <si>
    <t>序号</t>
  </si>
  <si>
    <t>店名</t>
  </si>
  <si>
    <t>服务专员</t>
  </si>
  <si>
    <t>姓名</t>
  </si>
  <si>
    <t>身份证</t>
  </si>
  <si>
    <t>电话（微信同号）</t>
  </si>
  <si>
    <t>是否有微信</t>
  </si>
  <si>
    <t>陪同</t>
  </si>
  <si>
    <t>团费</t>
  </si>
  <si>
    <t>支付方式</t>
  </si>
  <si>
    <t>备注</t>
  </si>
  <si>
    <t>年龄</t>
  </si>
  <si>
    <t>柳溪店</t>
  </si>
  <si>
    <t>魏壮</t>
  </si>
  <si>
    <t>蔡春明</t>
  </si>
  <si>
    <t>142602195108271517</t>
  </si>
  <si>
    <t>有</t>
  </si>
  <si>
    <t>微信</t>
  </si>
  <si>
    <t>单人</t>
  </si>
  <si>
    <t>田花杰</t>
  </si>
  <si>
    <t>140103196206013361</t>
  </si>
  <si>
    <t>家属</t>
  </si>
  <si>
    <t>夫妻</t>
  </si>
  <si>
    <t>张增栓</t>
  </si>
  <si>
    <t>140103196006093336</t>
  </si>
  <si>
    <t>周文青</t>
  </si>
  <si>
    <t>弓志刚</t>
  </si>
  <si>
    <t>140102195511193214</t>
  </si>
  <si>
    <t>现金</t>
  </si>
  <si>
    <t>一家</t>
  </si>
  <si>
    <t>靳小娟</t>
  </si>
  <si>
    <t>140102195910154028</t>
  </si>
  <si>
    <t>无</t>
  </si>
  <si>
    <t>陈昱多</t>
  </si>
  <si>
    <t>140106201212190041</t>
  </si>
  <si>
    <t>郑宏伟</t>
  </si>
  <si>
    <t>郑变明</t>
  </si>
  <si>
    <t>140103195806043922</t>
  </si>
  <si>
    <t>高玉卿</t>
  </si>
  <si>
    <t>140103195606073916</t>
  </si>
  <si>
    <t>田来根</t>
  </si>
  <si>
    <t>140103196402190031</t>
  </si>
  <si>
    <t>朋友</t>
  </si>
  <si>
    <t>高萍</t>
  </si>
  <si>
    <t>140103195201225723</t>
  </si>
  <si>
    <t>渠毓才</t>
  </si>
  <si>
    <t>140103196202204216</t>
  </si>
  <si>
    <t>胡丽珍</t>
  </si>
  <si>
    <t>140103196111074268</t>
  </si>
  <si>
    <t>渠瀚超</t>
  </si>
  <si>
    <t>140108201410160014</t>
  </si>
  <si>
    <t>体育路</t>
  </si>
  <si>
    <t>吴志明</t>
  </si>
  <si>
    <t>郝玉花</t>
  </si>
  <si>
    <t>140112195009063222</t>
  </si>
  <si>
    <t>是</t>
  </si>
  <si>
    <t>周兰云</t>
  </si>
  <si>
    <t>140112195602073229</t>
  </si>
  <si>
    <t>梁爱花</t>
  </si>
  <si>
    <t>140103196201030023</t>
  </si>
  <si>
    <t>4姐妹</t>
  </si>
  <si>
    <t>梁变花</t>
  </si>
  <si>
    <t>140103195110103341</t>
  </si>
  <si>
    <t>梁桂花</t>
  </si>
  <si>
    <t>140103195806280020</t>
  </si>
  <si>
    <t>梁改花</t>
  </si>
  <si>
    <t>140102195610182027</t>
  </si>
  <si>
    <t>王香宇</t>
  </si>
  <si>
    <t>席建汶</t>
  </si>
  <si>
    <t>140303195904071629</t>
  </si>
  <si>
    <t>万鸣</t>
  </si>
  <si>
    <t>140102195801202051</t>
  </si>
  <si>
    <t>李国强</t>
  </si>
  <si>
    <t>140104195501110836</t>
  </si>
  <si>
    <t>杨秀艳</t>
  </si>
  <si>
    <t>140104195805170889</t>
  </si>
  <si>
    <t>闫素梅</t>
  </si>
  <si>
    <t>140104195712060840</t>
  </si>
  <si>
    <t>王曼榕</t>
  </si>
  <si>
    <t>孙全印</t>
  </si>
  <si>
    <t>140102195404154818</t>
  </si>
  <si>
    <t>孙香兰</t>
  </si>
  <si>
    <t>140102195405154887</t>
  </si>
  <si>
    <t>王凯</t>
  </si>
  <si>
    <t>杨翠莲</t>
  </si>
  <si>
    <t>140103195604195741</t>
  </si>
  <si>
    <t>阿姨+小孩</t>
  </si>
  <si>
    <t>朱光荣</t>
  </si>
  <si>
    <t>140103195604275717</t>
  </si>
  <si>
    <t>孟庆云</t>
  </si>
  <si>
    <t>140104195801100322</t>
  </si>
  <si>
    <t>阿姨</t>
  </si>
  <si>
    <t>徐翠香</t>
  </si>
  <si>
    <t>140404196511030324</t>
  </si>
  <si>
    <t>石师成</t>
  </si>
  <si>
    <t>李佩生</t>
  </si>
  <si>
    <t>140111195405170912</t>
  </si>
  <si>
    <t>王亮清</t>
  </si>
  <si>
    <t>140111195410010921</t>
  </si>
  <si>
    <t>郭涵诗</t>
  </si>
  <si>
    <t>140109201301180127</t>
  </si>
  <si>
    <t>小孩</t>
  </si>
  <si>
    <t>朱雨涵</t>
  </si>
  <si>
    <t>140106201603150063</t>
  </si>
  <si>
    <t>霍彩萍</t>
  </si>
  <si>
    <t>142323195202180027</t>
  </si>
  <si>
    <t>母女</t>
  </si>
  <si>
    <t>文娟</t>
  </si>
  <si>
    <t>142323197609030142</t>
  </si>
  <si>
    <t>工作人员</t>
  </si>
  <si>
    <t>石宏宇</t>
  </si>
  <si>
    <t>14242919909055424</t>
  </si>
  <si>
    <t>蔡星星</t>
  </si>
  <si>
    <t>142327200105060241</t>
  </si>
  <si>
    <t>韩文勇</t>
  </si>
  <si>
    <t>211382197905101838</t>
  </si>
  <si>
    <t>平台</t>
  </si>
  <si>
    <t>刘立清</t>
  </si>
  <si>
    <t>211224198206243904</t>
  </si>
  <si>
    <t>韩佳乐</t>
  </si>
  <si>
    <t>211382200708251823</t>
  </si>
  <si>
    <t>刘雪</t>
  </si>
  <si>
    <t>610203199211172924</t>
  </si>
  <si>
    <t>王佳慧</t>
  </si>
  <si>
    <t>140724199503200102</t>
  </si>
  <si>
    <t>曹爱文</t>
  </si>
  <si>
    <t>140104196904162221</t>
  </si>
  <si>
    <t>1号车调过来的</t>
  </si>
  <si>
    <t>贺吉</t>
  </si>
  <si>
    <t>140104196702102239</t>
  </si>
  <si>
    <t>霍爱华</t>
  </si>
  <si>
    <t>140104196410242221</t>
  </si>
  <si>
    <t>贾慧军</t>
  </si>
  <si>
    <t>140104197001231745</t>
  </si>
  <si>
    <r>
      <rPr>
        <sz val="10.5"/>
        <color theme="1"/>
        <rFont val="宋体"/>
        <charset val="134"/>
      </rPr>
      <t>常志刚</t>
    </r>
  </si>
  <si>
    <t>14240119770225341X</t>
  </si>
  <si>
    <r>
      <rPr>
        <sz val="10.5"/>
        <color theme="1"/>
        <rFont val="宋体"/>
        <charset val="134"/>
      </rPr>
      <t>李慧</t>
    </r>
  </si>
  <si>
    <t>140104198106183115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</si>
</sst>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rgb="FF000000"/>
      <name val="微软雅黑"/>
      <charset val="134"/>
    </font>
    <font>
      <b/>
      <sz val="16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.5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49" fontId="1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49" fontId="4" fillId="0" borderId="0" xfId="0" applyNumberFormat="1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1" xfId="0" applyFont="1" applyFill="1" applyBorder="1" applyAlignment="1" quotePrefix="1">
      <alignment horizontal="center" vertical="center"/>
    </xf>
    <xf numFmtId="49" fontId="3" fillId="0" borderId="1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\WeChat%20Files\wxid_mnogr6h9mq5g22\FileStorage\File\2023-07\&#38485;&#21271;&#26053;&#28216;&#21517;&#21333;&#26611;&#28330;&#24215;8.3-8.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\WeChat%20Files\wxid_mnogr6h9mq5g22\FileStorage\File\2023-07\1_8.3&#38485;&#21271;&#26053;&#28216;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下拉选项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下拉选项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1"/>
  <sheetViews>
    <sheetView tabSelected="1" topLeftCell="A45" workbookViewId="0">
      <selection activeCell="E3" sqref="E3:E51"/>
    </sheetView>
  </sheetViews>
  <sheetFormatPr defaultColWidth="9" defaultRowHeight="32" customHeight="1"/>
  <cols>
    <col min="1" max="1" width="5.12962962962963" style="1" customWidth="1"/>
    <col min="2" max="2" width="6.87962962962963" style="1" hidden="1" customWidth="1"/>
    <col min="3" max="3" width="10" style="1" hidden="1" customWidth="1"/>
    <col min="4" max="4" width="10.8796296296296" style="1" customWidth="1"/>
    <col min="5" max="5" width="24.75" style="5" customWidth="1"/>
    <col min="6" max="6" width="21.25" style="1" customWidth="1"/>
    <col min="7" max="7" width="10.5" style="1" customWidth="1"/>
    <col min="8" max="8" width="8" style="1" hidden="1" customWidth="1"/>
    <col min="9" max="9" width="10" style="1" hidden="1" customWidth="1"/>
    <col min="10" max="10" width="10.1296296296296" style="1" hidden="1" customWidth="1"/>
    <col min="11" max="11" width="33.6296296296296" style="1" hidden="1" customWidth="1"/>
    <col min="12" max="12" width="18.6666666666667" style="1" customWidth="1"/>
    <col min="13" max="13" width="28" style="1" hidden="1" customWidth="1"/>
    <col min="14" max="16382" width="28" style="1" customWidth="1"/>
    <col min="16383" max="16383" width="28" style="1"/>
    <col min="16384" max="16384" width="9" style="1"/>
  </cols>
  <sheetData>
    <row r="1" s="1" customFormat="1" ht="51" customHeight="1" spans="1:12">
      <c r="A1" s="6" t="s">
        <v>0</v>
      </c>
      <c r="B1" s="6"/>
      <c r="C1" s="6"/>
      <c r="D1" s="6"/>
      <c r="E1" s="7"/>
      <c r="F1" s="6"/>
      <c r="G1" s="6"/>
      <c r="H1" s="6"/>
      <c r="I1" s="6"/>
      <c r="J1" s="6"/>
      <c r="K1" s="6"/>
      <c r="L1" s="6"/>
    </row>
    <row r="2" s="2" customFormat="1" customHeight="1" spans="1:13">
      <c r="A2" s="8" t="s">
        <v>1</v>
      </c>
      <c r="B2" s="8" t="s">
        <v>2</v>
      </c>
      <c r="C2" s="8" t="s">
        <v>3</v>
      </c>
      <c r="D2" s="8" t="s">
        <v>4</v>
      </c>
      <c r="E2" s="9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8" t="s">
        <v>11</v>
      </c>
      <c r="M2" s="8" t="s">
        <v>12</v>
      </c>
    </row>
    <row r="3" s="1" customFormat="1" customHeight="1" spans="1:13">
      <c r="A3" s="10">
        <v>1</v>
      </c>
      <c r="B3" s="10" t="s">
        <v>13</v>
      </c>
      <c r="C3" s="10" t="s">
        <v>14</v>
      </c>
      <c r="D3" s="10" t="s">
        <v>15</v>
      </c>
      <c r="E3" s="11" t="s">
        <v>16</v>
      </c>
      <c r="F3" s="10">
        <v>13703573456</v>
      </c>
      <c r="G3" s="10" t="s">
        <v>17</v>
      </c>
      <c r="H3" s="10"/>
      <c r="I3" s="10">
        <v>399</v>
      </c>
      <c r="J3" s="10" t="s">
        <v>18</v>
      </c>
      <c r="K3" s="10" t="s">
        <v>19</v>
      </c>
      <c r="L3" s="10"/>
      <c r="M3" s="10">
        <f ca="1" t="shared" ref="M3:M15" si="0">YEAR(TODAY())-MID(E3,7,4)</f>
        <v>72</v>
      </c>
    </row>
    <row r="4" s="1" customFormat="1" customHeight="1" spans="1:13">
      <c r="A4" s="10">
        <v>2</v>
      </c>
      <c r="B4" s="10" t="s">
        <v>13</v>
      </c>
      <c r="C4" s="10" t="s">
        <v>14</v>
      </c>
      <c r="D4" s="10" t="s">
        <v>20</v>
      </c>
      <c r="E4" s="11" t="s">
        <v>21</v>
      </c>
      <c r="F4" s="10">
        <v>13327409028</v>
      </c>
      <c r="G4" s="10" t="s">
        <v>17</v>
      </c>
      <c r="H4" s="10" t="s">
        <v>22</v>
      </c>
      <c r="I4" s="10">
        <v>399</v>
      </c>
      <c r="J4" s="10" t="s">
        <v>18</v>
      </c>
      <c r="K4" s="15" t="s">
        <v>23</v>
      </c>
      <c r="L4" s="10"/>
      <c r="M4" s="10">
        <f ca="1" t="shared" si="0"/>
        <v>61</v>
      </c>
    </row>
    <row r="5" s="1" customFormat="1" customHeight="1" spans="1:13">
      <c r="A5" s="10">
        <v>3</v>
      </c>
      <c r="B5" s="10" t="s">
        <v>13</v>
      </c>
      <c r="C5" s="10" t="s">
        <v>14</v>
      </c>
      <c r="D5" s="10" t="s">
        <v>24</v>
      </c>
      <c r="E5" s="11" t="s">
        <v>25</v>
      </c>
      <c r="F5" s="10">
        <v>13327409078</v>
      </c>
      <c r="G5" s="10" t="s">
        <v>17</v>
      </c>
      <c r="H5" s="10" t="s">
        <v>22</v>
      </c>
      <c r="I5" s="10">
        <v>399</v>
      </c>
      <c r="J5" s="10" t="s">
        <v>18</v>
      </c>
      <c r="K5" s="16"/>
      <c r="L5" s="10"/>
      <c r="M5" s="10">
        <f ca="1" t="shared" si="0"/>
        <v>63</v>
      </c>
    </row>
    <row r="6" s="1" customFormat="1" customHeight="1" spans="1:13">
      <c r="A6" s="10">
        <v>4</v>
      </c>
      <c r="B6" s="10" t="s">
        <v>13</v>
      </c>
      <c r="C6" s="10" t="s">
        <v>26</v>
      </c>
      <c r="D6" s="10" t="s">
        <v>27</v>
      </c>
      <c r="E6" s="11" t="s">
        <v>28</v>
      </c>
      <c r="F6" s="10">
        <v>13753185685</v>
      </c>
      <c r="G6" s="10" t="s">
        <v>17</v>
      </c>
      <c r="H6" s="10" t="s">
        <v>22</v>
      </c>
      <c r="I6" s="10">
        <v>399</v>
      </c>
      <c r="J6" s="10" t="s">
        <v>29</v>
      </c>
      <c r="K6" s="15" t="s">
        <v>30</v>
      </c>
      <c r="L6" s="10"/>
      <c r="M6" s="10">
        <f ca="1" t="shared" si="0"/>
        <v>68</v>
      </c>
    </row>
    <row r="7" s="1" customFormat="1" customHeight="1" spans="1:13">
      <c r="A7" s="10">
        <v>5</v>
      </c>
      <c r="B7" s="10" t="s">
        <v>13</v>
      </c>
      <c r="C7" s="10" t="s">
        <v>26</v>
      </c>
      <c r="D7" s="10" t="s">
        <v>31</v>
      </c>
      <c r="E7" s="22" t="s">
        <v>32</v>
      </c>
      <c r="F7" s="10">
        <v>13753185686</v>
      </c>
      <c r="G7" s="10" t="s">
        <v>33</v>
      </c>
      <c r="H7" s="10" t="s">
        <v>22</v>
      </c>
      <c r="I7" s="10">
        <v>399</v>
      </c>
      <c r="J7" s="10" t="s">
        <v>29</v>
      </c>
      <c r="K7" s="17"/>
      <c r="L7" s="10"/>
      <c r="M7" s="10">
        <f ca="1" t="shared" si="0"/>
        <v>64</v>
      </c>
    </row>
    <row r="8" s="1" customFormat="1" customHeight="1" spans="1:13">
      <c r="A8" s="10">
        <v>6</v>
      </c>
      <c r="B8" s="10" t="s">
        <v>13</v>
      </c>
      <c r="C8" s="10" t="s">
        <v>26</v>
      </c>
      <c r="D8" s="10" t="s">
        <v>34</v>
      </c>
      <c r="E8" s="22" t="s">
        <v>35</v>
      </c>
      <c r="F8" s="10">
        <v>13753185687</v>
      </c>
      <c r="G8" s="10" t="s">
        <v>33</v>
      </c>
      <c r="H8" s="10" t="s">
        <v>22</v>
      </c>
      <c r="I8" s="10">
        <v>399</v>
      </c>
      <c r="J8" s="10" t="s">
        <v>29</v>
      </c>
      <c r="K8" s="16"/>
      <c r="L8" s="10"/>
      <c r="M8" s="10">
        <f ca="1" t="shared" si="0"/>
        <v>11</v>
      </c>
    </row>
    <row r="9" s="1" customFormat="1" customHeight="1" spans="1:13">
      <c r="A9" s="10">
        <v>7</v>
      </c>
      <c r="B9" s="10" t="s">
        <v>13</v>
      </c>
      <c r="C9" s="10" t="s">
        <v>36</v>
      </c>
      <c r="D9" s="10" t="s">
        <v>37</v>
      </c>
      <c r="E9" s="11" t="s">
        <v>38</v>
      </c>
      <c r="F9" s="10">
        <v>15513258162</v>
      </c>
      <c r="G9" s="10" t="s">
        <v>17</v>
      </c>
      <c r="H9" s="10" t="s">
        <v>22</v>
      </c>
      <c r="I9" s="10">
        <v>399</v>
      </c>
      <c r="J9" s="10" t="s">
        <v>18</v>
      </c>
      <c r="K9" s="15" t="s">
        <v>23</v>
      </c>
      <c r="L9" s="10"/>
      <c r="M9" s="10">
        <f ca="1" t="shared" si="0"/>
        <v>65</v>
      </c>
    </row>
    <row r="10" s="1" customFormat="1" customHeight="1" spans="1:13">
      <c r="A10" s="10">
        <v>8</v>
      </c>
      <c r="B10" s="10" t="s">
        <v>13</v>
      </c>
      <c r="C10" s="10" t="s">
        <v>36</v>
      </c>
      <c r="D10" s="10" t="s">
        <v>39</v>
      </c>
      <c r="E10" s="11" t="s">
        <v>40</v>
      </c>
      <c r="F10" s="10">
        <v>13753186790</v>
      </c>
      <c r="G10" s="10" t="s">
        <v>17</v>
      </c>
      <c r="H10" s="10" t="s">
        <v>22</v>
      </c>
      <c r="I10" s="10">
        <v>399</v>
      </c>
      <c r="J10" s="10" t="s">
        <v>18</v>
      </c>
      <c r="K10" s="16"/>
      <c r="L10" s="10"/>
      <c r="M10" s="10">
        <f ca="1" t="shared" si="0"/>
        <v>67</v>
      </c>
    </row>
    <row r="11" s="1" customFormat="1" customHeight="1" spans="1:13">
      <c r="A11" s="10">
        <v>9</v>
      </c>
      <c r="B11" s="10" t="s">
        <v>13</v>
      </c>
      <c r="C11" s="10" t="s">
        <v>14</v>
      </c>
      <c r="D11" s="10" t="s">
        <v>41</v>
      </c>
      <c r="E11" s="11" t="s">
        <v>42</v>
      </c>
      <c r="F11" s="10">
        <v>13834700111</v>
      </c>
      <c r="G11" s="10" t="s">
        <v>17</v>
      </c>
      <c r="H11" s="10" t="s">
        <v>43</v>
      </c>
      <c r="I11" s="10">
        <v>399</v>
      </c>
      <c r="J11" s="10" t="s">
        <v>18</v>
      </c>
      <c r="K11" s="17"/>
      <c r="L11" s="10"/>
      <c r="M11" s="10">
        <f ca="1" t="shared" si="0"/>
        <v>59</v>
      </c>
    </row>
    <row r="12" s="1" customFormat="1" customHeight="1" spans="1:13">
      <c r="A12" s="10">
        <v>10</v>
      </c>
      <c r="B12" s="10" t="s">
        <v>13</v>
      </c>
      <c r="C12" s="10" t="s">
        <v>14</v>
      </c>
      <c r="D12" s="10" t="s">
        <v>44</v>
      </c>
      <c r="E12" s="11" t="s">
        <v>45</v>
      </c>
      <c r="F12" s="10">
        <v>13509715950</v>
      </c>
      <c r="G12" s="10" t="s">
        <v>17</v>
      </c>
      <c r="H12" s="10" t="s">
        <v>43</v>
      </c>
      <c r="I12" s="10">
        <v>399</v>
      </c>
      <c r="J12" s="10" t="s">
        <v>18</v>
      </c>
      <c r="K12" s="16"/>
      <c r="L12" s="10"/>
      <c r="M12" s="10">
        <f ca="1" t="shared" si="0"/>
        <v>71</v>
      </c>
    </row>
    <row r="13" s="1" customFormat="1" customHeight="1" spans="1:13">
      <c r="A13" s="10">
        <v>11</v>
      </c>
      <c r="B13" s="10" t="s">
        <v>13</v>
      </c>
      <c r="C13" s="10" t="s">
        <v>14</v>
      </c>
      <c r="D13" s="10" t="s">
        <v>46</v>
      </c>
      <c r="E13" s="11" t="s">
        <v>47</v>
      </c>
      <c r="F13" s="10">
        <v>13353518293</v>
      </c>
      <c r="G13" s="10" t="s">
        <v>17</v>
      </c>
      <c r="H13" s="10" t="s">
        <v>22</v>
      </c>
      <c r="I13" s="10">
        <v>399</v>
      </c>
      <c r="J13" s="10" t="s">
        <v>18</v>
      </c>
      <c r="K13" s="15" t="s">
        <v>30</v>
      </c>
      <c r="L13" s="10"/>
      <c r="M13" s="10">
        <f ca="1" t="shared" si="0"/>
        <v>61</v>
      </c>
    </row>
    <row r="14" s="1" customFormat="1" customHeight="1" spans="1:13">
      <c r="A14" s="10">
        <v>12</v>
      </c>
      <c r="B14" s="10" t="s">
        <v>13</v>
      </c>
      <c r="C14" s="10" t="s">
        <v>14</v>
      </c>
      <c r="D14" s="10" t="s">
        <v>48</v>
      </c>
      <c r="E14" s="11" t="s">
        <v>49</v>
      </c>
      <c r="F14" s="10">
        <v>13934111443</v>
      </c>
      <c r="G14" s="10" t="s">
        <v>17</v>
      </c>
      <c r="H14" s="10" t="s">
        <v>22</v>
      </c>
      <c r="I14" s="10">
        <v>399</v>
      </c>
      <c r="J14" s="10" t="s">
        <v>18</v>
      </c>
      <c r="K14" s="17"/>
      <c r="L14" s="10"/>
      <c r="M14" s="10">
        <f ca="1" t="shared" si="0"/>
        <v>62</v>
      </c>
    </row>
    <row r="15" s="1" customFormat="1" customHeight="1" spans="1:13">
      <c r="A15" s="10">
        <v>13</v>
      </c>
      <c r="B15" s="10" t="s">
        <v>13</v>
      </c>
      <c r="C15" s="10" t="s">
        <v>14</v>
      </c>
      <c r="D15" s="10" t="s">
        <v>50</v>
      </c>
      <c r="E15" s="11" t="s">
        <v>51</v>
      </c>
      <c r="F15" s="10">
        <v>13934111444</v>
      </c>
      <c r="G15" s="10" t="s">
        <v>33</v>
      </c>
      <c r="H15" s="10" t="s">
        <v>22</v>
      </c>
      <c r="I15" s="10">
        <v>399</v>
      </c>
      <c r="J15" s="10" t="s">
        <v>18</v>
      </c>
      <c r="K15" s="16"/>
      <c r="L15" s="10"/>
      <c r="M15" s="10">
        <f ca="1" t="shared" si="0"/>
        <v>9</v>
      </c>
    </row>
    <row r="16" s="3" customFormat="1" customHeight="1" spans="1:13">
      <c r="A16" s="10">
        <v>14</v>
      </c>
      <c r="B16" s="12" t="s">
        <v>52</v>
      </c>
      <c r="C16" s="12" t="s">
        <v>53</v>
      </c>
      <c r="D16" s="12" t="s">
        <v>54</v>
      </c>
      <c r="E16" s="13" t="s">
        <v>55</v>
      </c>
      <c r="F16" s="12">
        <v>15698335586</v>
      </c>
      <c r="G16" s="12" t="s">
        <v>56</v>
      </c>
      <c r="H16" s="12" t="s">
        <v>43</v>
      </c>
      <c r="I16" s="12">
        <v>399</v>
      </c>
      <c r="J16" s="12" t="s">
        <v>18</v>
      </c>
      <c r="K16" s="18" t="s">
        <v>43</v>
      </c>
      <c r="L16" s="12"/>
      <c r="M16" s="10">
        <f ca="1" t="shared" ref="M16:M45" si="1">YEAR(TODAY())-MID(E16,7,4)</f>
        <v>73</v>
      </c>
    </row>
    <row r="17" s="3" customFormat="1" customHeight="1" spans="1:13">
      <c r="A17" s="10">
        <v>15</v>
      </c>
      <c r="B17" s="12" t="s">
        <v>52</v>
      </c>
      <c r="C17" s="12" t="s">
        <v>53</v>
      </c>
      <c r="D17" s="12" t="s">
        <v>57</v>
      </c>
      <c r="E17" s="13" t="s">
        <v>58</v>
      </c>
      <c r="F17" s="12">
        <v>18835161065</v>
      </c>
      <c r="G17" s="12" t="s">
        <v>56</v>
      </c>
      <c r="H17" s="12" t="s">
        <v>43</v>
      </c>
      <c r="I17" s="12">
        <v>399</v>
      </c>
      <c r="J17" s="12" t="s">
        <v>18</v>
      </c>
      <c r="K17" s="19"/>
      <c r="L17" s="12"/>
      <c r="M17" s="10">
        <f ca="1" t="shared" si="1"/>
        <v>67</v>
      </c>
    </row>
    <row r="18" s="3" customFormat="1" customHeight="1" spans="1:13">
      <c r="A18" s="10">
        <v>16</v>
      </c>
      <c r="B18" s="12" t="s">
        <v>52</v>
      </c>
      <c r="C18" s="12" t="s">
        <v>53</v>
      </c>
      <c r="D18" s="12" t="s">
        <v>59</v>
      </c>
      <c r="E18" s="13" t="s">
        <v>60</v>
      </c>
      <c r="F18" s="12">
        <v>13934520561</v>
      </c>
      <c r="G18" s="12" t="s">
        <v>56</v>
      </c>
      <c r="H18" s="12" t="s">
        <v>22</v>
      </c>
      <c r="I18" s="12">
        <v>399</v>
      </c>
      <c r="J18" s="12" t="s">
        <v>18</v>
      </c>
      <c r="K18" s="18" t="s">
        <v>61</v>
      </c>
      <c r="L18" s="12"/>
      <c r="M18" s="10">
        <f ca="1" t="shared" si="1"/>
        <v>61</v>
      </c>
    </row>
    <row r="19" s="3" customFormat="1" customHeight="1" spans="1:13">
      <c r="A19" s="10">
        <v>17</v>
      </c>
      <c r="B19" s="12" t="s">
        <v>52</v>
      </c>
      <c r="C19" s="12" t="s">
        <v>53</v>
      </c>
      <c r="D19" s="12" t="s">
        <v>62</v>
      </c>
      <c r="E19" s="13" t="s">
        <v>63</v>
      </c>
      <c r="F19" s="12">
        <v>17535116236</v>
      </c>
      <c r="G19" s="12" t="s">
        <v>56</v>
      </c>
      <c r="H19" s="12" t="s">
        <v>22</v>
      </c>
      <c r="I19" s="12">
        <v>399</v>
      </c>
      <c r="J19" s="12" t="s">
        <v>18</v>
      </c>
      <c r="K19" s="20"/>
      <c r="L19" s="12"/>
      <c r="M19" s="10">
        <f ca="1" t="shared" si="1"/>
        <v>72</v>
      </c>
    </row>
    <row r="20" s="3" customFormat="1" customHeight="1" spans="1:13">
      <c r="A20" s="10">
        <v>18</v>
      </c>
      <c r="B20" s="12" t="s">
        <v>52</v>
      </c>
      <c r="C20" s="12" t="s">
        <v>53</v>
      </c>
      <c r="D20" s="12" t="s">
        <v>64</v>
      </c>
      <c r="E20" s="13" t="s">
        <v>65</v>
      </c>
      <c r="F20" s="12">
        <v>15934130362</v>
      </c>
      <c r="G20" s="12" t="s">
        <v>56</v>
      </c>
      <c r="H20" s="12" t="s">
        <v>22</v>
      </c>
      <c r="I20" s="12">
        <v>399</v>
      </c>
      <c r="J20" s="12" t="s">
        <v>18</v>
      </c>
      <c r="K20" s="20"/>
      <c r="L20" s="12"/>
      <c r="M20" s="10">
        <f ca="1" t="shared" si="1"/>
        <v>65</v>
      </c>
    </row>
    <row r="21" s="3" customFormat="1" customHeight="1" spans="1:13">
      <c r="A21" s="10">
        <v>19</v>
      </c>
      <c r="B21" s="12" t="s">
        <v>52</v>
      </c>
      <c r="C21" s="12" t="s">
        <v>53</v>
      </c>
      <c r="D21" s="12" t="s">
        <v>66</v>
      </c>
      <c r="E21" s="13" t="s">
        <v>67</v>
      </c>
      <c r="F21" s="12">
        <v>13613459418</v>
      </c>
      <c r="G21" s="12" t="s">
        <v>56</v>
      </c>
      <c r="H21" s="12" t="s">
        <v>22</v>
      </c>
      <c r="I21" s="12">
        <v>399</v>
      </c>
      <c r="J21" s="12" t="s">
        <v>18</v>
      </c>
      <c r="K21" s="19"/>
      <c r="L21" s="12"/>
      <c r="M21" s="10">
        <f ca="1" t="shared" si="1"/>
        <v>67</v>
      </c>
    </row>
    <row r="22" s="3" customFormat="1" customHeight="1" spans="1:13">
      <c r="A22" s="10">
        <v>20</v>
      </c>
      <c r="B22" s="12" t="s">
        <v>52</v>
      </c>
      <c r="C22" s="12" t="s">
        <v>68</v>
      </c>
      <c r="D22" s="12" t="s">
        <v>69</v>
      </c>
      <c r="E22" s="13" t="s">
        <v>70</v>
      </c>
      <c r="F22" s="12">
        <v>15513861315</v>
      </c>
      <c r="G22" s="12" t="s">
        <v>56</v>
      </c>
      <c r="H22" s="12"/>
      <c r="I22" s="12">
        <v>399</v>
      </c>
      <c r="J22" s="12" t="s">
        <v>18</v>
      </c>
      <c r="K22" s="12"/>
      <c r="L22" s="12"/>
      <c r="M22" s="10">
        <f ca="1" t="shared" si="1"/>
        <v>64</v>
      </c>
    </row>
    <row r="23" s="3" customFormat="1" customHeight="1" spans="1:13">
      <c r="A23" s="10">
        <v>21</v>
      </c>
      <c r="B23" s="12" t="s">
        <v>52</v>
      </c>
      <c r="C23" s="12" t="s">
        <v>68</v>
      </c>
      <c r="D23" s="12" t="s">
        <v>71</v>
      </c>
      <c r="E23" s="13" t="s">
        <v>72</v>
      </c>
      <c r="F23" s="12">
        <v>13935151129</v>
      </c>
      <c r="G23" s="12" t="s">
        <v>56</v>
      </c>
      <c r="H23" s="12" t="s">
        <v>43</v>
      </c>
      <c r="I23" s="12">
        <v>399</v>
      </c>
      <c r="J23" s="12" t="s">
        <v>18</v>
      </c>
      <c r="K23" s="18" t="s">
        <v>22</v>
      </c>
      <c r="L23" s="12"/>
      <c r="M23" s="10">
        <f ca="1" t="shared" si="1"/>
        <v>65</v>
      </c>
    </row>
    <row r="24" s="3" customFormat="1" customHeight="1" spans="1:13">
      <c r="A24" s="10">
        <v>22</v>
      </c>
      <c r="B24" s="12" t="s">
        <v>52</v>
      </c>
      <c r="C24" s="12" t="s">
        <v>68</v>
      </c>
      <c r="D24" s="12" t="s">
        <v>73</v>
      </c>
      <c r="E24" s="13" t="s">
        <v>74</v>
      </c>
      <c r="F24" s="12">
        <v>18536840046</v>
      </c>
      <c r="G24" s="12" t="s">
        <v>56</v>
      </c>
      <c r="H24" s="12" t="s">
        <v>43</v>
      </c>
      <c r="I24" s="12">
        <v>399</v>
      </c>
      <c r="J24" s="12" t="s">
        <v>18</v>
      </c>
      <c r="K24" s="20"/>
      <c r="L24" s="12"/>
      <c r="M24" s="10">
        <f ca="1" t="shared" si="1"/>
        <v>68</v>
      </c>
    </row>
    <row r="25" s="3" customFormat="1" customHeight="1" spans="1:13">
      <c r="A25" s="10">
        <v>23</v>
      </c>
      <c r="B25" s="12" t="s">
        <v>52</v>
      </c>
      <c r="C25" s="12" t="s">
        <v>68</v>
      </c>
      <c r="D25" s="12" t="s">
        <v>75</v>
      </c>
      <c r="E25" s="13" t="s">
        <v>76</v>
      </c>
      <c r="F25" s="12">
        <v>15536349445</v>
      </c>
      <c r="G25" s="12" t="s">
        <v>56</v>
      </c>
      <c r="H25" s="12" t="s">
        <v>43</v>
      </c>
      <c r="I25" s="12">
        <v>399</v>
      </c>
      <c r="J25" s="12" t="s">
        <v>18</v>
      </c>
      <c r="K25" s="20"/>
      <c r="L25" s="12"/>
      <c r="M25" s="10">
        <f ca="1" t="shared" si="1"/>
        <v>65</v>
      </c>
    </row>
    <row r="26" s="3" customFormat="1" customHeight="1" spans="1:13">
      <c r="A26" s="10">
        <v>24</v>
      </c>
      <c r="B26" s="12" t="s">
        <v>52</v>
      </c>
      <c r="C26" s="12" t="s">
        <v>68</v>
      </c>
      <c r="D26" s="12" t="s">
        <v>77</v>
      </c>
      <c r="E26" s="13" t="s">
        <v>78</v>
      </c>
      <c r="F26" s="12">
        <v>13803430514</v>
      </c>
      <c r="G26" s="12" t="s">
        <v>56</v>
      </c>
      <c r="H26" s="12" t="s">
        <v>43</v>
      </c>
      <c r="I26" s="12">
        <v>399</v>
      </c>
      <c r="J26" s="12" t="s">
        <v>18</v>
      </c>
      <c r="K26" s="19"/>
      <c r="L26" s="12"/>
      <c r="M26" s="10">
        <f ca="1" t="shared" si="1"/>
        <v>66</v>
      </c>
    </row>
    <row r="27" s="3" customFormat="1" customHeight="1" spans="1:13">
      <c r="A27" s="10">
        <v>25</v>
      </c>
      <c r="B27" s="12" t="s">
        <v>52</v>
      </c>
      <c r="C27" s="12" t="s">
        <v>79</v>
      </c>
      <c r="D27" s="12" t="s">
        <v>80</v>
      </c>
      <c r="E27" s="13" t="s">
        <v>81</v>
      </c>
      <c r="F27" s="12">
        <v>13453115307</v>
      </c>
      <c r="G27" s="12" t="s">
        <v>56</v>
      </c>
      <c r="H27" s="12" t="s">
        <v>22</v>
      </c>
      <c r="I27" s="12">
        <v>399</v>
      </c>
      <c r="J27" s="12" t="s">
        <v>18</v>
      </c>
      <c r="K27" s="18" t="s">
        <v>23</v>
      </c>
      <c r="L27" s="12"/>
      <c r="M27" s="10">
        <f ca="1" t="shared" si="1"/>
        <v>69</v>
      </c>
    </row>
    <row r="28" s="3" customFormat="1" customHeight="1" spans="1:13">
      <c r="A28" s="10">
        <v>26</v>
      </c>
      <c r="B28" s="12" t="s">
        <v>52</v>
      </c>
      <c r="C28" s="12" t="s">
        <v>79</v>
      </c>
      <c r="D28" s="12" t="s">
        <v>82</v>
      </c>
      <c r="E28" s="13" t="s">
        <v>83</v>
      </c>
      <c r="F28" s="12">
        <v>15110407968</v>
      </c>
      <c r="G28" s="12" t="s">
        <v>56</v>
      </c>
      <c r="H28" s="12" t="s">
        <v>22</v>
      </c>
      <c r="I28" s="12">
        <v>399</v>
      </c>
      <c r="J28" s="12" t="s">
        <v>18</v>
      </c>
      <c r="K28" s="19"/>
      <c r="L28" s="12"/>
      <c r="M28" s="10">
        <f ca="1" t="shared" si="1"/>
        <v>69</v>
      </c>
    </row>
    <row r="29" s="3" customFormat="1" customHeight="1" spans="1:13">
      <c r="A29" s="10">
        <v>27</v>
      </c>
      <c r="B29" s="12" t="s">
        <v>52</v>
      </c>
      <c r="C29" s="12" t="s">
        <v>84</v>
      </c>
      <c r="D29" s="12" t="s">
        <v>85</v>
      </c>
      <c r="E29" s="13" t="s">
        <v>86</v>
      </c>
      <c r="F29" s="12">
        <v>13834509077</v>
      </c>
      <c r="G29" s="12" t="s">
        <v>56</v>
      </c>
      <c r="H29" s="12" t="s">
        <v>22</v>
      </c>
      <c r="I29" s="12">
        <v>399</v>
      </c>
      <c r="J29" s="12" t="s">
        <v>18</v>
      </c>
      <c r="K29" s="18" t="s">
        <v>87</v>
      </c>
      <c r="L29" s="12"/>
      <c r="M29" s="10">
        <f ca="1" t="shared" si="1"/>
        <v>67</v>
      </c>
    </row>
    <row r="30" s="3" customFormat="1" customHeight="1" spans="1:13">
      <c r="A30" s="10">
        <v>28</v>
      </c>
      <c r="B30" s="12" t="s">
        <v>52</v>
      </c>
      <c r="C30" s="12" t="s">
        <v>84</v>
      </c>
      <c r="D30" s="12" t="s">
        <v>88</v>
      </c>
      <c r="E30" s="13" t="s">
        <v>89</v>
      </c>
      <c r="F30" s="12">
        <v>13100006962</v>
      </c>
      <c r="G30" s="12" t="s">
        <v>56</v>
      </c>
      <c r="H30" s="12" t="s">
        <v>22</v>
      </c>
      <c r="I30" s="12">
        <v>399</v>
      </c>
      <c r="J30" s="12" t="s">
        <v>18</v>
      </c>
      <c r="K30" s="19"/>
      <c r="L30" s="12"/>
      <c r="M30" s="10">
        <f ca="1" t="shared" si="1"/>
        <v>67</v>
      </c>
    </row>
    <row r="31" s="3" customFormat="1" customHeight="1" spans="1:13">
      <c r="A31" s="10">
        <v>29</v>
      </c>
      <c r="B31" s="12" t="s">
        <v>52</v>
      </c>
      <c r="C31" s="12" t="s">
        <v>84</v>
      </c>
      <c r="D31" s="12" t="s">
        <v>90</v>
      </c>
      <c r="E31" s="13" t="s">
        <v>91</v>
      </c>
      <c r="F31" s="12">
        <v>13934527048</v>
      </c>
      <c r="G31" s="12" t="s">
        <v>56</v>
      </c>
      <c r="H31" s="12" t="s">
        <v>22</v>
      </c>
      <c r="I31" s="12">
        <v>399</v>
      </c>
      <c r="J31" s="12" t="s">
        <v>29</v>
      </c>
      <c r="K31" s="18" t="s">
        <v>92</v>
      </c>
      <c r="L31" s="12"/>
      <c r="M31" s="10">
        <f ca="1" t="shared" si="1"/>
        <v>65</v>
      </c>
    </row>
    <row r="32" s="3" customFormat="1" customHeight="1" spans="1:13">
      <c r="A32" s="10">
        <v>30</v>
      </c>
      <c r="B32" s="12" t="s">
        <v>52</v>
      </c>
      <c r="C32" s="12" t="s">
        <v>84</v>
      </c>
      <c r="D32" s="12" t="s">
        <v>93</v>
      </c>
      <c r="E32" s="13" t="s">
        <v>94</v>
      </c>
      <c r="F32" s="12">
        <v>13994420181</v>
      </c>
      <c r="G32" s="12" t="s">
        <v>56</v>
      </c>
      <c r="H32" s="12" t="s">
        <v>22</v>
      </c>
      <c r="I32" s="12">
        <v>399</v>
      </c>
      <c r="J32" s="12" t="s">
        <v>29</v>
      </c>
      <c r="K32" s="19"/>
      <c r="L32" s="12"/>
      <c r="M32" s="10">
        <f ca="1" t="shared" si="1"/>
        <v>58</v>
      </c>
    </row>
    <row r="33" s="3" customFormat="1" customHeight="1" spans="1:13">
      <c r="A33" s="10">
        <v>31</v>
      </c>
      <c r="B33" s="12" t="s">
        <v>52</v>
      </c>
      <c r="C33" s="12" t="s">
        <v>95</v>
      </c>
      <c r="D33" s="12" t="s">
        <v>96</v>
      </c>
      <c r="E33" s="13" t="s">
        <v>97</v>
      </c>
      <c r="F33" s="12">
        <v>13503500455</v>
      </c>
      <c r="G33" s="12" t="s">
        <v>56</v>
      </c>
      <c r="H33" s="12" t="s">
        <v>22</v>
      </c>
      <c r="I33" s="12">
        <v>399</v>
      </c>
      <c r="J33" s="12" t="s">
        <v>29</v>
      </c>
      <c r="K33" s="18" t="s">
        <v>23</v>
      </c>
      <c r="L33" s="12"/>
      <c r="M33" s="10">
        <f ca="1" t="shared" si="1"/>
        <v>69</v>
      </c>
    </row>
    <row r="34" s="3" customFormat="1" customHeight="1" spans="1:13">
      <c r="A34" s="10">
        <v>32</v>
      </c>
      <c r="B34" s="12" t="s">
        <v>52</v>
      </c>
      <c r="C34" s="12" t="s">
        <v>95</v>
      </c>
      <c r="D34" s="12" t="s">
        <v>98</v>
      </c>
      <c r="E34" s="13" t="s">
        <v>99</v>
      </c>
      <c r="F34" s="12">
        <v>13503500456</v>
      </c>
      <c r="G34" s="12" t="s">
        <v>33</v>
      </c>
      <c r="H34" s="12" t="s">
        <v>22</v>
      </c>
      <c r="I34" s="12">
        <v>399</v>
      </c>
      <c r="J34" s="12" t="s">
        <v>29</v>
      </c>
      <c r="K34" s="19"/>
      <c r="L34" s="12"/>
      <c r="M34" s="10">
        <f ca="1" t="shared" si="1"/>
        <v>69</v>
      </c>
    </row>
    <row r="35" s="3" customFormat="1" customHeight="1" spans="1:13">
      <c r="A35" s="10">
        <v>33</v>
      </c>
      <c r="B35" s="12" t="s">
        <v>52</v>
      </c>
      <c r="C35" s="12" t="s">
        <v>84</v>
      </c>
      <c r="D35" s="12" t="s">
        <v>100</v>
      </c>
      <c r="E35" s="13" t="s">
        <v>101</v>
      </c>
      <c r="F35" s="12">
        <v>13503500457</v>
      </c>
      <c r="G35" s="12" t="s">
        <v>33</v>
      </c>
      <c r="H35" s="12" t="s">
        <v>22</v>
      </c>
      <c r="I35" s="12">
        <v>399</v>
      </c>
      <c r="J35" s="12" t="s">
        <v>29</v>
      </c>
      <c r="K35" s="12" t="s">
        <v>102</v>
      </c>
      <c r="L35" s="12"/>
      <c r="M35" s="10">
        <f ca="1" t="shared" si="1"/>
        <v>10</v>
      </c>
    </row>
    <row r="36" s="3" customFormat="1" customHeight="1" spans="1:13">
      <c r="A36" s="10">
        <v>34</v>
      </c>
      <c r="B36" s="12" t="s">
        <v>52</v>
      </c>
      <c r="C36" s="12" t="s">
        <v>84</v>
      </c>
      <c r="D36" s="12" t="s">
        <v>103</v>
      </c>
      <c r="E36" s="13" t="s">
        <v>104</v>
      </c>
      <c r="F36" s="12">
        <v>13503500458</v>
      </c>
      <c r="G36" s="12" t="s">
        <v>33</v>
      </c>
      <c r="H36" s="12" t="s">
        <v>22</v>
      </c>
      <c r="I36" s="12">
        <v>399</v>
      </c>
      <c r="J36" s="12" t="s">
        <v>29</v>
      </c>
      <c r="K36" s="12" t="s">
        <v>102</v>
      </c>
      <c r="L36" s="12"/>
      <c r="M36" s="10">
        <f ca="1" t="shared" si="1"/>
        <v>7</v>
      </c>
    </row>
    <row r="37" s="3" customFormat="1" customHeight="1" spans="1:13">
      <c r="A37" s="10">
        <v>35</v>
      </c>
      <c r="B37" s="12" t="s">
        <v>52</v>
      </c>
      <c r="C37" s="12" t="s">
        <v>68</v>
      </c>
      <c r="D37" s="12" t="s">
        <v>105</v>
      </c>
      <c r="E37" s="13" t="s">
        <v>106</v>
      </c>
      <c r="F37" s="12">
        <v>15103413608</v>
      </c>
      <c r="G37" s="12" t="s">
        <v>56</v>
      </c>
      <c r="H37" s="12" t="s">
        <v>22</v>
      </c>
      <c r="I37" s="12">
        <v>399</v>
      </c>
      <c r="J37" s="12" t="s">
        <v>18</v>
      </c>
      <c r="K37" s="12" t="s">
        <v>107</v>
      </c>
      <c r="L37" s="12"/>
      <c r="M37" s="10">
        <f ca="1" t="shared" si="1"/>
        <v>71</v>
      </c>
    </row>
    <row r="38" s="3" customFormat="1" customHeight="1" spans="1:13">
      <c r="A38" s="10">
        <v>36</v>
      </c>
      <c r="B38" s="12" t="s">
        <v>52</v>
      </c>
      <c r="C38" s="12" t="s">
        <v>68</v>
      </c>
      <c r="D38" s="12" t="s">
        <v>108</v>
      </c>
      <c r="E38" s="13" t="s">
        <v>109</v>
      </c>
      <c r="F38" s="12">
        <v>13068002606</v>
      </c>
      <c r="G38" s="12" t="s">
        <v>56</v>
      </c>
      <c r="H38" s="12" t="s">
        <v>22</v>
      </c>
      <c r="I38" s="12">
        <v>399</v>
      </c>
      <c r="J38" s="12" t="s">
        <v>18</v>
      </c>
      <c r="K38" s="12"/>
      <c r="L38" s="12"/>
      <c r="M38" s="10">
        <f ca="1" t="shared" si="1"/>
        <v>47</v>
      </c>
    </row>
    <row r="39" s="3" customFormat="1" customHeight="1" spans="1:13">
      <c r="A39" s="10">
        <v>37</v>
      </c>
      <c r="B39" s="12"/>
      <c r="C39" s="12" t="s">
        <v>110</v>
      </c>
      <c r="D39" s="12" t="s">
        <v>111</v>
      </c>
      <c r="E39" s="13" t="s">
        <v>112</v>
      </c>
      <c r="F39" s="12">
        <v>15934431375</v>
      </c>
      <c r="G39" s="12"/>
      <c r="H39" s="12"/>
      <c r="I39" s="12"/>
      <c r="J39" s="12"/>
      <c r="K39" s="12"/>
      <c r="L39" s="12" t="s">
        <v>110</v>
      </c>
      <c r="M39" s="10">
        <f ca="1" t="shared" si="1"/>
        <v>33</v>
      </c>
    </row>
    <row r="40" s="3" customFormat="1" customHeight="1" spans="1:13">
      <c r="A40" s="10">
        <v>38</v>
      </c>
      <c r="B40" s="12"/>
      <c r="C40" s="12" t="s">
        <v>110</v>
      </c>
      <c r="D40" s="12" t="s">
        <v>113</v>
      </c>
      <c r="E40" s="13" t="s">
        <v>114</v>
      </c>
      <c r="F40" s="12">
        <v>18835234853</v>
      </c>
      <c r="G40" s="12"/>
      <c r="H40" s="12"/>
      <c r="I40" s="12"/>
      <c r="J40" s="12"/>
      <c r="K40" s="12"/>
      <c r="L40" s="12" t="s">
        <v>110</v>
      </c>
      <c r="M40" s="10">
        <f ca="1" t="shared" si="1"/>
        <v>22</v>
      </c>
    </row>
    <row r="41" s="3" customFormat="1" customHeight="1" spans="1:13">
      <c r="A41" s="10">
        <v>39</v>
      </c>
      <c r="B41" s="12"/>
      <c r="C41" s="12" t="s">
        <v>110</v>
      </c>
      <c r="D41" s="12" t="s">
        <v>115</v>
      </c>
      <c r="E41" s="23" t="s">
        <v>116</v>
      </c>
      <c r="F41" s="12">
        <v>15135171780</v>
      </c>
      <c r="G41" s="12"/>
      <c r="H41" s="12"/>
      <c r="I41" s="12"/>
      <c r="J41" s="12"/>
      <c r="K41" s="12"/>
      <c r="L41" s="12" t="s">
        <v>110</v>
      </c>
      <c r="M41" s="10">
        <f ca="1" t="shared" si="1"/>
        <v>44</v>
      </c>
    </row>
    <row r="42" s="3" customFormat="1" customHeight="1" spans="1:13">
      <c r="A42" s="10">
        <v>40</v>
      </c>
      <c r="B42" s="12"/>
      <c r="C42" s="12" t="s">
        <v>117</v>
      </c>
      <c r="D42" s="12" t="s">
        <v>118</v>
      </c>
      <c r="E42" s="13" t="s">
        <v>119</v>
      </c>
      <c r="F42" s="12">
        <v>19935568643</v>
      </c>
      <c r="G42" s="12"/>
      <c r="H42" s="12"/>
      <c r="I42" s="12"/>
      <c r="J42" s="12"/>
      <c r="K42" s="12"/>
      <c r="L42" s="12"/>
      <c r="M42" s="10">
        <f ca="1" t="shared" si="1"/>
        <v>41</v>
      </c>
    </row>
    <row r="43" s="3" customFormat="1" customHeight="1" spans="1:13">
      <c r="A43" s="10">
        <v>41</v>
      </c>
      <c r="B43" s="12"/>
      <c r="C43" s="12" t="s">
        <v>117</v>
      </c>
      <c r="D43" s="12" t="s">
        <v>120</v>
      </c>
      <c r="E43" s="13" t="s">
        <v>121</v>
      </c>
      <c r="F43" s="12">
        <v>18734158643</v>
      </c>
      <c r="G43" s="12"/>
      <c r="H43" s="12"/>
      <c r="I43" s="12"/>
      <c r="J43" s="12"/>
      <c r="K43" s="12"/>
      <c r="L43" s="12"/>
      <c r="M43" s="10">
        <f ca="1" t="shared" si="1"/>
        <v>16</v>
      </c>
    </row>
    <row r="44" s="3" customFormat="1" customHeight="1" spans="1:13">
      <c r="A44" s="10">
        <v>42</v>
      </c>
      <c r="B44" s="12"/>
      <c r="C44" s="12" t="s">
        <v>117</v>
      </c>
      <c r="D44" s="12" t="s">
        <v>122</v>
      </c>
      <c r="E44" s="23" t="s">
        <v>123</v>
      </c>
      <c r="F44" s="12">
        <v>17696096282</v>
      </c>
      <c r="G44" s="12"/>
      <c r="H44" s="12"/>
      <c r="I44" s="12"/>
      <c r="J44" s="12"/>
      <c r="K44" s="12"/>
      <c r="L44" s="12"/>
      <c r="M44" s="10">
        <f ca="1" t="shared" si="1"/>
        <v>31</v>
      </c>
    </row>
    <row r="45" s="3" customFormat="1" customHeight="1" spans="1:13">
      <c r="A45" s="10">
        <v>43</v>
      </c>
      <c r="B45" s="12"/>
      <c r="C45" s="12" t="s">
        <v>117</v>
      </c>
      <c r="D45" s="12" t="s">
        <v>124</v>
      </c>
      <c r="E45" s="23" t="s">
        <v>125</v>
      </c>
      <c r="F45" s="12">
        <v>15034190320</v>
      </c>
      <c r="G45" s="12"/>
      <c r="H45" s="12"/>
      <c r="I45" s="12"/>
      <c r="J45" s="12"/>
      <c r="K45" s="12"/>
      <c r="L45" s="12"/>
      <c r="M45" s="10">
        <f ca="1" t="shared" si="1"/>
        <v>28</v>
      </c>
    </row>
    <row r="46" s="4" customFormat="1" ht="36" customHeight="1" spans="1:14">
      <c r="A46" s="10">
        <v>44</v>
      </c>
      <c r="B46" s="10" t="s">
        <v>13</v>
      </c>
      <c r="C46" s="10" t="s">
        <v>14</v>
      </c>
      <c r="D46" s="10" t="s">
        <v>126</v>
      </c>
      <c r="E46" s="11" t="s">
        <v>127</v>
      </c>
      <c r="F46" s="10">
        <v>13934660603</v>
      </c>
      <c r="G46" s="10" t="s">
        <v>17</v>
      </c>
      <c r="H46" s="10" t="s">
        <v>17</v>
      </c>
      <c r="I46" s="10" t="s">
        <v>17</v>
      </c>
      <c r="J46" s="10"/>
      <c r="K46" s="10"/>
      <c r="L46" s="10"/>
      <c r="M46" s="14"/>
      <c r="N46" s="21" t="s">
        <v>128</v>
      </c>
    </row>
    <row r="47" s="4" customFormat="1" ht="36" customHeight="1" spans="1:14">
      <c r="A47" s="10">
        <v>45</v>
      </c>
      <c r="B47" s="10" t="s">
        <v>13</v>
      </c>
      <c r="C47" s="10" t="s">
        <v>14</v>
      </c>
      <c r="D47" s="10" t="s">
        <v>129</v>
      </c>
      <c r="E47" s="11" t="s">
        <v>130</v>
      </c>
      <c r="F47" s="10">
        <v>13007046585</v>
      </c>
      <c r="G47" s="10" t="s">
        <v>17</v>
      </c>
      <c r="H47" s="14"/>
      <c r="I47" s="14"/>
      <c r="J47" s="14"/>
      <c r="K47" s="14"/>
      <c r="L47" s="14"/>
      <c r="M47" s="14"/>
      <c r="N47" s="21"/>
    </row>
    <row r="48" s="4" customFormat="1" ht="36" customHeight="1" spans="1:14">
      <c r="A48" s="10">
        <v>46</v>
      </c>
      <c r="B48" s="10" t="s">
        <v>13</v>
      </c>
      <c r="C48" s="10" t="s">
        <v>14</v>
      </c>
      <c r="D48" s="10" t="s">
        <v>131</v>
      </c>
      <c r="E48" s="11" t="s">
        <v>132</v>
      </c>
      <c r="F48" s="10">
        <v>13703517364</v>
      </c>
      <c r="G48" s="10" t="s">
        <v>17</v>
      </c>
      <c r="H48" s="14"/>
      <c r="I48" s="14"/>
      <c r="J48" s="14"/>
      <c r="K48" s="14"/>
      <c r="L48" s="14"/>
      <c r="M48" s="14"/>
      <c r="N48" s="21"/>
    </row>
    <row r="49" s="4" customFormat="1" ht="36" customHeight="1" spans="1:14">
      <c r="A49" s="10">
        <v>47</v>
      </c>
      <c r="B49" s="10" t="s">
        <v>13</v>
      </c>
      <c r="C49" s="10" t="s">
        <v>14</v>
      </c>
      <c r="D49" s="10" t="s">
        <v>133</v>
      </c>
      <c r="E49" s="11" t="s">
        <v>134</v>
      </c>
      <c r="F49" s="10">
        <v>13934246915</v>
      </c>
      <c r="G49" s="10" t="s">
        <v>17</v>
      </c>
      <c r="H49" s="14"/>
      <c r="I49" s="14"/>
      <c r="J49" s="14"/>
      <c r="K49" s="14"/>
      <c r="L49" s="14"/>
      <c r="M49" s="14"/>
      <c r="N49" s="21"/>
    </row>
    <row r="50" customHeight="1" spans="1:6">
      <c r="A50" s="10">
        <v>48</v>
      </c>
      <c r="B50" s="10"/>
      <c r="C50" s="10"/>
      <c r="D50" s="10" t="s">
        <v>135</v>
      </c>
      <c r="E50" s="11" t="s">
        <v>136</v>
      </c>
      <c r="F50" s="10">
        <v>18634266668</v>
      </c>
    </row>
    <row r="51" customHeight="1" spans="1:6">
      <c r="A51" s="10">
        <v>49</v>
      </c>
      <c r="B51" s="10"/>
      <c r="C51" s="10"/>
      <c r="D51" s="10" t="s">
        <v>137</v>
      </c>
      <c r="E51" s="11" t="s">
        <v>138</v>
      </c>
      <c r="F51" s="10">
        <v>18003438968</v>
      </c>
    </row>
  </sheetData>
  <autoFilter ref="A2:M51">
    <extLst/>
  </autoFilter>
  <mergeCells count="15">
    <mergeCell ref="A1:K1"/>
    <mergeCell ref="K4:K5"/>
    <mergeCell ref="K6:K8"/>
    <mergeCell ref="K9:K10"/>
    <mergeCell ref="K11:K12"/>
    <mergeCell ref="K13:K15"/>
    <mergeCell ref="K16:K17"/>
    <mergeCell ref="K18:K21"/>
    <mergeCell ref="K23:K26"/>
    <mergeCell ref="K27:K28"/>
    <mergeCell ref="K29:K30"/>
    <mergeCell ref="K31:K32"/>
    <mergeCell ref="K33:K34"/>
    <mergeCell ref="K37:K38"/>
    <mergeCell ref="N46:N49"/>
  </mergeCells>
  <dataValidations count="2">
    <dataValidation type="list" allowBlank="1" showInputMessage="1" showErrorMessage="1" sqref="C5 C6 J6 C11 H11 J11 C12 J12 C15 C45 H45 J45 C46 C47 C48 C49 C1:C4 C7:C8 C9:C10 C13:C14 C39:C41 C42:C44 C50:C1048576 G39:G44 H1:H6 H7:H8 H9:H10 H12:H15 H50:H1048576 I39:I44 J1:J3 J4:J5 J7:J8 J9:J10 J13:J15 J50:J1048576">
      <formula1>[1]下拉选项!#REF!</formula1>
    </dataValidation>
    <dataValidation type="list" allowBlank="1" showInputMessage="1" showErrorMessage="1" sqref="J16 H19 H20 H21 C16:C21 C22:C25 C26:C38 H16:H18 H22:H28 H29:H30 H31:H32 H33:H38 J17:J25 J26:J38">
      <formula1>[2]下拉选项!#REF!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1号车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王旭13289123377 RMP</cp:lastModifiedBy>
  <dcterms:created xsi:type="dcterms:W3CDTF">2023-07-31T07:42:00Z</dcterms:created>
  <dcterms:modified xsi:type="dcterms:W3CDTF">2023-08-01T07:42:52Z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9F105B81211B4893818F59211ABE5423_12</vt:lpwstr>
  </property>
</Properties>
</file>