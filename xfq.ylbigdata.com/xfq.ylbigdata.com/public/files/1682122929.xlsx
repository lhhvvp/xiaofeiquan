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<sst xmlns="http://schemas.openxmlformats.org/spreadsheetml/2006/main" count="73" uniqueCount="73">
  <si>
    <t>序号</t>
  </si>
  <si>
    <t>姓名</t>
  </si>
  <si>
    <t>身份证号</t>
  </si>
  <si>
    <t>联系电话</t>
  </si>
  <si>
    <t>年龄</t>
  </si>
  <si>
    <t>民族</t>
  </si>
  <si>
    <t>性别</t>
  </si>
  <si>
    <t>集合地点</t>
  </si>
  <si>
    <t>销售商</t>
  </si>
  <si>
    <t>备注</t>
  </si>
  <si>
    <t>肖艳芬</t>
  </si>
  <si>
    <t>640202195209220027</t>
  </si>
  <si>
    <t>董姐</t>
  </si>
  <si>
    <t>郑玉林</t>
  </si>
  <si>
    <t>640202195007180012</t>
  </si>
  <si>
    <t>刘玉芳</t>
  </si>
  <si>
    <t>642102196501180027</t>
  </si>
  <si>
    <t>刘惠萍</t>
  </si>
  <si>
    <t>640202194907290028</t>
  </si>
  <si>
    <t>贺彩霞</t>
  </si>
  <si>
    <t>640103195205131845</t>
  </si>
  <si>
    <t>张茹明</t>
  </si>
  <si>
    <t>640103195603111823</t>
  </si>
  <si>
    <t>嵇春雅</t>
  </si>
  <si>
    <t>640103195504241841</t>
  </si>
  <si>
    <t>张志</t>
  </si>
  <si>
    <t>640103195408200310</t>
  </si>
  <si>
    <t>高晓玲</t>
  </si>
  <si>
    <t>640103196210061823</t>
  </si>
  <si>
    <t>史红霞</t>
  </si>
  <si>
    <t>620402196608090444</t>
  </si>
  <si>
    <t>何秀霞</t>
  </si>
  <si>
    <t>642102194803242423</t>
  </si>
  <si>
    <t>马小丽</t>
  </si>
  <si>
    <t>640102196210090062</t>
  </si>
  <si>
    <t>高红</t>
  </si>
  <si>
    <t>640102196906082124</t>
  </si>
  <si>
    <t>马晋</t>
  </si>
  <si>
    <t>640102196406010917</t>
  </si>
  <si>
    <t>赵凤霞</t>
  </si>
  <si>
    <t>640102196510130943</t>
  </si>
  <si>
    <t>孔原</t>
  </si>
  <si>
    <t>640102196309290013</t>
  </si>
  <si>
    <t>孔庆</t>
  </si>
  <si>
    <t>640102196210040022</t>
  </si>
  <si>
    <t>孙宏南</t>
  </si>
  <si>
    <t>640102195811032138</t>
  </si>
  <si>
    <t>李久安</t>
  </si>
  <si>
    <t>642224197202280050</t>
  </si>
  <si>
    <t>施庆中</t>
  </si>
  <si>
    <t>640103196310010919</t>
  </si>
  <si>
    <t>张录善</t>
  </si>
  <si>
    <t>640103195402261833</t>
  </si>
  <si>
    <t>王爱玲</t>
  </si>
  <si>
    <t>64010319580219182X</t>
  </si>
  <si>
    <t>王新会</t>
  </si>
  <si>
    <t>610324196203030014</t>
  </si>
  <si>
    <t>王小玲</t>
  </si>
  <si>
    <t>640324196303062523</t>
  </si>
  <si>
    <t>孙海涛</t>
  </si>
  <si>
    <t>510102196512256612</t>
  </si>
  <si>
    <t>吕淑红</t>
  </si>
  <si>
    <t>610113196801050023</t>
  </si>
  <si>
    <t>孙博</t>
  </si>
  <si>
    <t>640103199909260198</t>
  </si>
  <si>
    <t>张建生</t>
  </si>
  <si>
    <t>640103196007200912</t>
  </si>
  <si>
    <t>史丽玲</t>
  </si>
  <si>
    <t>640103196110260921</t>
  </si>
  <si>
    <t>周军</t>
  </si>
  <si>
    <t>64011119780128031X</t>
  </si>
  <si>
    <t>刘炜</t>
  </si>
  <si>
    <t>640102197901121846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</si>
</sst>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workbookViewId="0">
      <selection activeCell="L26" sqref="L26"/>
    </sheetView>
  </sheetViews>
  <sheetFormatPr defaultColWidth="14.25" defaultRowHeight="22" customHeight="1"/>
  <cols>
    <col min="1" max="1" width="7.125" style="2" customWidth="1"/>
    <col min="2" max="2" width="9.375" style="2" customWidth="1"/>
    <col min="3" max="3" width="31" style="2" customWidth="1"/>
    <col min="4" max="8" width="14.25" style="2" customWidth="1"/>
    <col min="9" max="9" width="10.125" style="2" customWidth="1"/>
    <col min="10" max="16384" width="14.25" style="2" customWidth="1"/>
  </cols>
  <sheetData>
    <row r="1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Height="1" spans="1:10">
      <c r="A2" s="4">
        <v>1</v>
      </c>
      <c r="B2" s="5" t="s">
        <v>10</v>
      </c>
      <c r="C2" s="15" t="s">
        <v>11</v>
      </c>
      <c r="D2" s="3">
        <v>13895083223</v>
      </c>
      <c r="E2" s="3">
        <f ca="1">_xlfn.IFS(LEN(C2)=15,DATEDIF(TEXT("19"&amp;MID(C2,7,6),"0-00-00"),TODAY(),"y"),LEN(C2)=18,DATEDIF(TEXT(MID(C2,7,8),"0-00-00"),TODAY(),"y"),TRUE,"身份证错误")</f>
        <v>70</v>
      </c>
      <c r="F2" s="3"/>
      <c r="G2" s="3" t="str">
        <f>IF(OR(LEN(C2)=15,LEN(C2)=18),IF(MOD(MID(C2,15,3)*1,2),"男","女"),#N/A)</f>
        <v>女</v>
      </c>
      <c r="H2" s="3"/>
      <c r="I2" s="3" t="s">
        <v>12</v>
      </c>
      <c r="J2" s="3"/>
    </row>
    <row r="3" customHeight="1" spans="1:10">
      <c r="A3" s="4">
        <v>2</v>
      </c>
      <c r="B3" s="5" t="s">
        <v>13</v>
      </c>
      <c r="C3" s="15" t="s">
        <v>14</v>
      </c>
      <c r="D3" s="3">
        <v>13323598073</v>
      </c>
      <c r="E3" s="3">
        <f ca="1" t="shared" ref="E3:E25" si="0">_xlfn.IFS(LEN(C3)=15,DATEDIF(TEXT("19"&amp;MID(C3,7,6),"0-00-00"),TODAY(),"y"),LEN(C3)=18,DATEDIF(TEXT(MID(C3,7,8),"0-00-00"),TODAY(),"y"),TRUE,"身份证错误")</f>
        <v>72</v>
      </c>
      <c r="F3" s="3"/>
      <c r="G3" s="3" t="str">
        <f t="shared" ref="G3:G25" si="1">IF(OR(LEN(C3)=15,LEN(C3)=18),IF(MOD(MID(C3,15,3)*1,2),"男","女"),#N/A)</f>
        <v>男</v>
      </c>
      <c r="H3" s="3"/>
      <c r="I3" s="3"/>
      <c r="J3" s="3"/>
    </row>
    <row r="4" customHeight="1" spans="1:10">
      <c r="A4" s="4">
        <v>3</v>
      </c>
      <c r="B4" s="5" t="s">
        <v>15</v>
      </c>
      <c r="C4" s="15" t="s">
        <v>16</v>
      </c>
      <c r="D4" s="3">
        <v>15378999027</v>
      </c>
      <c r="E4" s="3">
        <f ca="1" t="shared" si="0"/>
        <v>58</v>
      </c>
      <c r="F4" s="3"/>
      <c r="G4" s="3" t="str">
        <f t="shared" si="1"/>
        <v>女</v>
      </c>
      <c r="H4" s="3"/>
      <c r="I4" s="3"/>
      <c r="J4" s="3"/>
    </row>
    <row r="5" customHeight="1" spans="1:10">
      <c r="A5" s="4">
        <v>4</v>
      </c>
      <c r="B5" s="5" t="s">
        <v>17</v>
      </c>
      <c r="C5" s="15" t="s">
        <v>18</v>
      </c>
      <c r="D5" s="3">
        <v>18095168637</v>
      </c>
      <c r="E5" s="3">
        <f ca="1" t="shared" si="0"/>
        <v>73</v>
      </c>
      <c r="F5" s="3"/>
      <c r="G5" s="3" t="str">
        <f t="shared" si="1"/>
        <v>女</v>
      </c>
      <c r="H5" s="3"/>
      <c r="I5" s="3"/>
      <c r="J5" s="3"/>
    </row>
    <row r="6" customHeight="1" spans="1:10">
      <c r="A6" s="4">
        <v>5</v>
      </c>
      <c r="B6" s="5" t="s">
        <v>19</v>
      </c>
      <c r="C6" s="15" t="s">
        <v>20</v>
      </c>
      <c r="D6" s="3">
        <v>15109586726</v>
      </c>
      <c r="E6" s="3">
        <f ca="1" t="shared" si="0"/>
        <v>70</v>
      </c>
      <c r="F6" s="3"/>
      <c r="G6" s="3" t="str">
        <f t="shared" si="1"/>
        <v>女</v>
      </c>
      <c r="H6" s="3"/>
      <c r="I6" s="3"/>
      <c r="J6" s="3"/>
    </row>
    <row r="7" customHeight="1" spans="1:10">
      <c r="A7" s="4">
        <v>6</v>
      </c>
      <c r="B7" s="5" t="s">
        <v>21</v>
      </c>
      <c r="C7" s="15" t="s">
        <v>22</v>
      </c>
      <c r="D7" s="3">
        <v>13629503310</v>
      </c>
      <c r="E7" s="3">
        <f ca="1" t="shared" si="0"/>
        <v>67</v>
      </c>
      <c r="F7" s="3"/>
      <c r="G7" s="3" t="str">
        <f t="shared" si="1"/>
        <v>女</v>
      </c>
      <c r="H7" s="3"/>
      <c r="I7" s="3"/>
      <c r="J7" s="3"/>
    </row>
    <row r="8" customHeight="1" spans="1:10">
      <c r="A8" s="4">
        <v>7</v>
      </c>
      <c r="B8" s="5" t="s">
        <v>23</v>
      </c>
      <c r="C8" s="15" t="s">
        <v>24</v>
      </c>
      <c r="D8" s="3">
        <v>17711815319</v>
      </c>
      <c r="E8" s="3">
        <f ca="1" t="shared" si="0"/>
        <v>67</v>
      </c>
      <c r="F8" s="3"/>
      <c r="G8" s="3" t="str">
        <f t="shared" si="1"/>
        <v>女</v>
      </c>
      <c r="H8" s="3"/>
      <c r="I8" s="3"/>
      <c r="J8" s="3"/>
    </row>
    <row r="9" customHeight="1" spans="1:10">
      <c r="A9" s="4">
        <v>8</v>
      </c>
      <c r="B9" s="5" t="s">
        <v>25</v>
      </c>
      <c r="C9" s="15" t="s">
        <v>26</v>
      </c>
      <c r="D9" s="3">
        <v>13995372408</v>
      </c>
      <c r="E9" s="3">
        <f ca="1" t="shared" si="0"/>
        <v>68</v>
      </c>
      <c r="F9" s="3"/>
      <c r="G9" s="3" t="str">
        <f t="shared" si="1"/>
        <v>男</v>
      </c>
      <c r="H9" s="3"/>
      <c r="I9" s="3"/>
      <c r="J9" s="3"/>
    </row>
    <row r="10" customHeight="1" spans="1:10">
      <c r="A10" s="4">
        <v>9</v>
      </c>
      <c r="B10" s="5" t="s">
        <v>27</v>
      </c>
      <c r="C10" s="15" t="s">
        <v>28</v>
      </c>
      <c r="D10" s="3">
        <v>13139518853</v>
      </c>
      <c r="E10" s="3">
        <f ca="1" t="shared" si="0"/>
        <v>60</v>
      </c>
      <c r="F10" s="3"/>
      <c r="G10" s="3" t="str">
        <f t="shared" si="1"/>
        <v>女</v>
      </c>
      <c r="H10" s="3"/>
      <c r="I10" s="3"/>
      <c r="J10" s="3"/>
    </row>
    <row r="11" customHeight="1" spans="1:10">
      <c r="A11" s="4">
        <v>10</v>
      </c>
      <c r="B11" s="5" t="s">
        <v>29</v>
      </c>
      <c r="C11" s="15" t="s">
        <v>30</v>
      </c>
      <c r="D11" s="3">
        <v>13309508236</v>
      </c>
      <c r="E11" s="3">
        <f ca="1" t="shared" si="0"/>
        <v>56</v>
      </c>
      <c r="F11" s="3"/>
      <c r="G11" s="3" t="str">
        <f t="shared" si="1"/>
        <v>女</v>
      </c>
      <c r="H11" s="3"/>
      <c r="I11" s="3"/>
      <c r="J11" s="3"/>
    </row>
    <row r="12" customHeight="1" spans="1:10">
      <c r="A12" s="4">
        <v>11</v>
      </c>
      <c r="B12" s="5" t="s">
        <v>31</v>
      </c>
      <c r="C12" s="15" t="s">
        <v>32</v>
      </c>
      <c r="D12" s="3">
        <v>19995132291</v>
      </c>
      <c r="E12" s="3">
        <f ca="1" t="shared" si="0"/>
        <v>75</v>
      </c>
      <c r="F12" s="3"/>
      <c r="G12" s="3" t="str">
        <f t="shared" si="1"/>
        <v>女</v>
      </c>
      <c r="H12" s="3"/>
      <c r="I12" s="3"/>
      <c r="J12" s="3"/>
    </row>
    <row r="13" customHeight="1" spans="1:10">
      <c r="A13" s="4">
        <v>12</v>
      </c>
      <c r="B13" s="5" t="s">
        <v>33</v>
      </c>
      <c r="C13" s="15" t="s">
        <v>34</v>
      </c>
      <c r="D13" s="3">
        <v>15909602242</v>
      </c>
      <c r="E13" s="3">
        <f ca="1" t="shared" si="0"/>
        <v>60</v>
      </c>
      <c r="F13" s="3"/>
      <c r="G13" s="3" t="str">
        <f t="shared" si="1"/>
        <v>女</v>
      </c>
      <c r="H13" s="3"/>
      <c r="I13" s="3"/>
      <c r="J13" s="3"/>
    </row>
    <row r="14" customHeight="1" spans="1:10">
      <c r="A14" s="4">
        <v>13</v>
      </c>
      <c r="B14" s="5" t="s">
        <v>35</v>
      </c>
      <c r="C14" s="15" t="s">
        <v>36</v>
      </c>
      <c r="D14" s="3">
        <v>13995115351</v>
      </c>
      <c r="E14" s="3">
        <f ca="1" t="shared" si="0"/>
        <v>53</v>
      </c>
      <c r="F14" s="3"/>
      <c r="G14" s="3" t="str">
        <f t="shared" si="1"/>
        <v>女</v>
      </c>
      <c r="H14" s="3"/>
      <c r="I14" s="3"/>
      <c r="J14" s="3"/>
    </row>
    <row r="15" customHeight="1" spans="1:10">
      <c r="A15" s="4">
        <v>14</v>
      </c>
      <c r="B15" s="5" t="s">
        <v>37</v>
      </c>
      <c r="C15" s="15" t="s">
        <v>38</v>
      </c>
      <c r="D15" s="3">
        <v>13995006716</v>
      </c>
      <c r="E15" s="3">
        <f ca="1" t="shared" si="0"/>
        <v>58</v>
      </c>
      <c r="F15" s="3"/>
      <c r="G15" s="3" t="str">
        <f t="shared" si="1"/>
        <v>男</v>
      </c>
      <c r="H15" s="3"/>
      <c r="I15" s="3"/>
      <c r="J15" s="3"/>
    </row>
    <row r="16" customHeight="1" spans="1:10">
      <c r="A16" s="4">
        <v>15</v>
      </c>
      <c r="B16" s="5" t="s">
        <v>39</v>
      </c>
      <c r="C16" s="15" t="s">
        <v>40</v>
      </c>
      <c r="D16" s="3">
        <v>13895188791</v>
      </c>
      <c r="E16" s="3">
        <f ca="1" t="shared" si="0"/>
        <v>57</v>
      </c>
      <c r="F16" s="3"/>
      <c r="G16" s="3" t="str">
        <f t="shared" si="1"/>
        <v>女</v>
      </c>
      <c r="H16" s="3"/>
      <c r="I16" s="3"/>
      <c r="J16" s="3"/>
    </row>
    <row r="17" customHeight="1" spans="1:10">
      <c r="A17" s="4">
        <v>16</v>
      </c>
      <c r="B17" s="5" t="s">
        <v>41</v>
      </c>
      <c r="C17" s="15" t="s">
        <v>42</v>
      </c>
      <c r="D17" s="3">
        <v>13995187156</v>
      </c>
      <c r="E17" s="3">
        <f ca="1" t="shared" si="0"/>
        <v>59</v>
      </c>
      <c r="F17" s="3"/>
      <c r="G17" s="3" t="str">
        <f t="shared" si="1"/>
        <v>男</v>
      </c>
      <c r="H17" s="3"/>
      <c r="I17" s="3"/>
      <c r="J17" s="3"/>
    </row>
    <row r="18" customHeight="1" spans="1:10">
      <c r="A18" s="4">
        <v>17</v>
      </c>
      <c r="B18" s="5" t="s">
        <v>43</v>
      </c>
      <c r="C18" s="15" t="s">
        <v>44</v>
      </c>
      <c r="D18" s="3">
        <v>15709696151</v>
      </c>
      <c r="E18" s="3">
        <f ca="1" t="shared" si="0"/>
        <v>60</v>
      </c>
      <c r="F18" s="3"/>
      <c r="G18" s="3" t="str">
        <f t="shared" si="1"/>
        <v>女</v>
      </c>
      <c r="H18" s="3"/>
      <c r="I18" s="3"/>
      <c r="J18" s="3"/>
    </row>
    <row r="19" customHeight="1" spans="1:10">
      <c r="A19" s="4">
        <v>18</v>
      </c>
      <c r="B19" s="5" t="s">
        <v>45</v>
      </c>
      <c r="C19" s="15" t="s">
        <v>46</v>
      </c>
      <c r="D19" s="3">
        <v>15349689971</v>
      </c>
      <c r="E19" s="3">
        <f ca="1" t="shared" si="0"/>
        <v>64</v>
      </c>
      <c r="F19" s="3"/>
      <c r="G19" s="3" t="str">
        <f t="shared" si="1"/>
        <v>男</v>
      </c>
      <c r="H19" s="3"/>
      <c r="I19" s="3"/>
      <c r="J19" s="3"/>
    </row>
    <row r="20" customHeight="1" spans="1:10">
      <c r="A20" s="4">
        <v>19</v>
      </c>
      <c r="B20" s="5" t="s">
        <v>47</v>
      </c>
      <c r="C20" s="15" t="s">
        <v>48</v>
      </c>
      <c r="D20" s="3">
        <v>15595587077</v>
      </c>
      <c r="E20" s="3">
        <f ca="1" t="shared" si="0"/>
        <v>51</v>
      </c>
      <c r="F20" s="3"/>
      <c r="G20" s="3" t="str">
        <f t="shared" si="1"/>
        <v>男</v>
      </c>
      <c r="H20" s="3"/>
      <c r="I20" s="3"/>
      <c r="J20" s="3"/>
    </row>
    <row r="21" customHeight="1" spans="1:10">
      <c r="A21" s="4">
        <v>20</v>
      </c>
      <c r="B21" s="5" t="s">
        <v>49</v>
      </c>
      <c r="C21" s="15" t="s">
        <v>50</v>
      </c>
      <c r="D21" s="3">
        <v>18169007226</v>
      </c>
      <c r="E21" s="3">
        <f ca="1" t="shared" si="0"/>
        <v>59</v>
      </c>
      <c r="F21" s="3"/>
      <c r="G21" s="3" t="str">
        <f t="shared" si="1"/>
        <v>男</v>
      </c>
      <c r="H21" s="3"/>
      <c r="I21" s="3"/>
      <c r="J21" s="3"/>
    </row>
    <row r="22" customHeight="1" spans="1:10">
      <c r="A22" s="4">
        <v>21</v>
      </c>
      <c r="B22" s="5" t="s">
        <v>51</v>
      </c>
      <c r="C22" s="15" t="s">
        <v>52</v>
      </c>
      <c r="D22" s="3">
        <v>13995178101</v>
      </c>
      <c r="E22" s="3">
        <f ca="1" t="shared" si="0"/>
        <v>69</v>
      </c>
      <c r="F22" s="3"/>
      <c r="G22" s="3" t="str">
        <f t="shared" si="1"/>
        <v>男</v>
      </c>
      <c r="H22" s="3"/>
      <c r="I22" s="3"/>
      <c r="J22" s="3"/>
    </row>
    <row r="23" customHeight="1" spans="1:10">
      <c r="A23" s="4">
        <v>22</v>
      </c>
      <c r="B23" s="5" t="s">
        <v>53</v>
      </c>
      <c r="C23" s="3" t="s">
        <v>54</v>
      </c>
      <c r="D23" s="3">
        <v>13519576820</v>
      </c>
      <c r="E23" s="3">
        <f ca="1" t="shared" si="0"/>
        <v>65</v>
      </c>
      <c r="F23" s="3"/>
      <c r="G23" s="3" t="str">
        <f t="shared" si="1"/>
        <v>女</v>
      </c>
      <c r="H23" s="3"/>
      <c r="I23" s="3"/>
      <c r="J23" s="3"/>
    </row>
    <row r="24" customHeight="1" spans="1:10">
      <c r="A24" s="4">
        <v>23</v>
      </c>
      <c r="B24" s="5" t="s">
        <v>55</v>
      </c>
      <c r="C24" s="15" t="s">
        <v>56</v>
      </c>
      <c r="D24" s="3">
        <v>17752309753</v>
      </c>
      <c r="E24" s="3">
        <f ca="1" t="shared" si="0"/>
        <v>61</v>
      </c>
      <c r="F24" s="3"/>
      <c r="G24" s="3" t="str">
        <f t="shared" si="1"/>
        <v>男</v>
      </c>
      <c r="H24" s="3"/>
      <c r="I24" s="3"/>
      <c r="J24" s="3"/>
    </row>
    <row r="25" customHeight="1" spans="1:10">
      <c r="A25" s="4">
        <v>24</v>
      </c>
      <c r="B25" s="5" t="s">
        <v>57</v>
      </c>
      <c r="C25" s="15" t="s">
        <v>58</v>
      </c>
      <c r="D25" s="3">
        <v>17752309613</v>
      </c>
      <c r="E25" s="3">
        <f ca="1" t="shared" si="0"/>
        <v>60</v>
      </c>
      <c r="F25" s="3"/>
      <c r="G25" s="3" t="str">
        <f t="shared" si="1"/>
        <v>女</v>
      </c>
      <c r="H25" s="3"/>
      <c r="I25" s="13"/>
      <c r="J25" s="14"/>
    </row>
    <row r="26" s="1" customFormat="1" customHeight="1" spans="1:8">
      <c r="A26" s="4">
        <v>25</v>
      </c>
      <c r="B26" s="6" t="s">
        <v>59</v>
      </c>
      <c r="C26" s="16" t="s">
        <v>60</v>
      </c>
      <c r="D26" s="3">
        <v>13995111641</v>
      </c>
      <c r="E26" s="3"/>
      <c r="F26" s="3"/>
      <c r="G26" s="3"/>
      <c r="H26" s="3"/>
    </row>
    <row r="27" s="1" customFormat="1" customHeight="1" spans="1:8">
      <c r="A27" s="4">
        <v>26</v>
      </c>
      <c r="B27" s="6" t="s">
        <v>61</v>
      </c>
      <c r="C27" s="16" t="s">
        <v>62</v>
      </c>
      <c r="D27" s="3">
        <v>13995010968</v>
      </c>
      <c r="E27" s="3"/>
      <c r="F27" s="3"/>
      <c r="G27" s="3"/>
      <c r="H27" s="3"/>
    </row>
    <row r="28" s="1" customFormat="1" customHeight="1" spans="1:8">
      <c r="A28" s="4">
        <v>27</v>
      </c>
      <c r="B28" s="6" t="s">
        <v>63</v>
      </c>
      <c r="C28" s="16" t="s">
        <v>64</v>
      </c>
      <c r="D28" s="3">
        <v>18795007026</v>
      </c>
      <c r="E28" s="3"/>
      <c r="F28" s="3"/>
      <c r="G28" s="3"/>
      <c r="H28" s="3"/>
    </row>
    <row r="29" s="1" customFormat="1" customHeight="1" spans="1:8">
      <c r="A29" s="4">
        <v>28</v>
      </c>
      <c r="B29" s="6" t="s">
        <v>65</v>
      </c>
      <c r="C29" s="16" t="s">
        <v>66</v>
      </c>
      <c r="D29" s="3">
        <v>13323501732</v>
      </c>
      <c r="E29" s="3"/>
      <c r="F29" s="3"/>
      <c r="G29" s="3"/>
      <c r="H29" s="3"/>
    </row>
    <row r="30" s="1" customFormat="1" customHeight="1" spans="1:8">
      <c r="A30" s="4">
        <v>29</v>
      </c>
      <c r="B30" s="6" t="s">
        <v>67</v>
      </c>
      <c r="C30" s="7" t="s">
        <v>68</v>
      </c>
      <c r="D30" s="3">
        <v>13895078987</v>
      </c>
      <c r="E30" s="3"/>
      <c r="F30" s="3"/>
      <c r="G30" s="3"/>
      <c r="H30" s="3"/>
    </row>
    <row r="31" s="1" customFormat="1" customHeight="1" spans="1:8">
      <c r="A31" s="4">
        <v>30</v>
      </c>
      <c r="B31" s="6" t="s">
        <v>69</v>
      </c>
      <c r="C31" s="6" t="s">
        <v>70</v>
      </c>
      <c r="D31" s="3">
        <v>13209610001</v>
      </c>
      <c r="E31" s="3"/>
      <c r="F31" s="3"/>
      <c r="G31" s="3"/>
      <c r="H31" s="3"/>
    </row>
    <row r="32" s="1" customFormat="1" customHeight="1" spans="1:8">
      <c r="A32" s="4">
        <v>31</v>
      </c>
      <c r="B32" s="6" t="s">
        <v>71</v>
      </c>
      <c r="C32" s="7" t="s">
        <v>72</v>
      </c>
      <c r="D32" s="3">
        <v>18309612008</v>
      </c>
      <c r="E32" s="3"/>
      <c r="F32" s="3"/>
      <c r="G32" s="3"/>
      <c r="H32" s="3"/>
    </row>
    <row r="33" s="1" customFormat="1" customHeight="1" spans="1:3">
      <c r="A33" s="8"/>
      <c r="B33" s="9"/>
      <c r="C33" s="9"/>
    </row>
    <row r="34" s="1" customFormat="1" customHeight="1" spans="1:3">
      <c r="A34" s="8"/>
      <c r="B34" s="9"/>
      <c r="C34" s="10"/>
    </row>
    <row r="35" s="1" customFormat="1" customHeight="1" spans="1:3">
      <c r="A35" s="8"/>
      <c r="B35" s="9"/>
      <c r="C35" s="9"/>
    </row>
    <row r="36" s="1" customFormat="1" customHeight="1" spans="1:3">
      <c r="A36" s="8"/>
      <c r="B36" s="9"/>
      <c r="C36" s="9"/>
    </row>
    <row r="37" s="1" customFormat="1" customHeight="1" spans="1:3">
      <c r="A37" s="8"/>
      <c r="B37" s="9"/>
      <c r="C37" s="9"/>
    </row>
    <row r="38" s="1" customFormat="1" customHeight="1" spans="1:3">
      <c r="A38" s="8"/>
      <c r="B38" s="9"/>
      <c r="C38" s="9"/>
    </row>
    <row r="39" s="1" customFormat="1" customHeight="1" spans="1:3">
      <c r="A39" s="8"/>
      <c r="B39" s="9"/>
      <c r="C39" s="9"/>
    </row>
    <row r="40" s="1" customFormat="1" customHeight="1" spans="1:3">
      <c r="A40" s="8"/>
      <c r="B40" s="9"/>
      <c r="C40" s="10"/>
    </row>
    <row r="41" s="1" customFormat="1" customHeight="1" spans="1:3">
      <c r="A41" s="8"/>
      <c r="B41" s="9"/>
      <c r="C41" s="10"/>
    </row>
    <row r="42" s="1" customFormat="1" customHeight="1" spans="1:3">
      <c r="A42" s="8"/>
      <c r="B42" s="9"/>
      <c r="C42" s="9"/>
    </row>
    <row r="43" s="1" customFormat="1" customHeight="1" spans="1:3">
      <c r="A43" s="8"/>
      <c r="B43" s="9"/>
      <c r="C43" s="9"/>
    </row>
    <row r="44" s="1" customFormat="1" customHeight="1" spans="1:3">
      <c r="A44" s="8"/>
      <c r="B44" s="9"/>
      <c r="C44" s="10"/>
    </row>
    <row r="45" s="1" customFormat="1" customHeight="1" spans="1:3">
      <c r="A45" s="8"/>
      <c r="B45" s="9"/>
      <c r="C45" s="9"/>
    </row>
    <row r="46" s="1" customFormat="1" customHeight="1" spans="1:3">
      <c r="A46" s="8"/>
      <c r="B46" s="9"/>
      <c r="C46" s="10"/>
    </row>
    <row r="47" s="1" customFormat="1" customHeight="1" spans="1:3">
      <c r="A47" s="8"/>
      <c r="B47" s="9"/>
      <c r="C47" s="10"/>
    </row>
    <row r="48" s="1" customFormat="1" customHeight="1" spans="1:3">
      <c r="A48" s="8"/>
      <c r="B48" s="9"/>
      <c r="C48" s="10"/>
    </row>
    <row r="49" s="1" customFormat="1" customHeight="1" spans="1:3">
      <c r="A49" s="8"/>
      <c r="B49" s="9"/>
      <c r="C49" s="9"/>
    </row>
    <row r="50" s="1" customFormat="1" customHeight="1" spans="1:3">
      <c r="A50" s="8"/>
      <c r="B50" s="9"/>
      <c r="C50" s="9"/>
    </row>
    <row r="51" s="1" customFormat="1" customHeight="1" spans="1:3">
      <c r="A51" s="8"/>
      <c r="B51" s="9"/>
      <c r="C51" s="9"/>
    </row>
    <row r="52" s="1" customFormat="1" customHeight="1" spans="2:3">
      <c r="B52" s="9"/>
      <c r="C52" s="9"/>
    </row>
    <row r="53" customHeight="1" spans="1:10">
      <c r="A53" s="11"/>
      <c r="B53" s="12"/>
      <c r="C53" s="12"/>
      <c r="D53" s="11"/>
      <c r="E53" s="11"/>
      <c r="F53" s="11"/>
      <c r="G53" s="11"/>
      <c r="H53" s="11"/>
      <c r="I53" s="11"/>
      <c r="J53" s="11"/>
    </row>
    <row r="54" customHeight="1" spans="1:10">
      <c r="A54" s="3"/>
      <c r="B54" s="6"/>
      <c r="C54" s="6"/>
      <c r="D54" s="3"/>
      <c r="E54" s="3"/>
      <c r="F54" s="3"/>
      <c r="G54" s="3"/>
      <c r="H54" s="3"/>
      <c r="I54" s="3"/>
      <c r="J54" s="3"/>
    </row>
    <row r="55" customHeight="1" spans="1:10">
      <c r="A55" s="3"/>
      <c r="B55" s="6"/>
      <c r="C55" s="6"/>
      <c r="D55" s="3"/>
      <c r="E55" s="3"/>
      <c r="F55" s="3"/>
      <c r="G55" s="3"/>
      <c r="H55" s="3"/>
      <c r="I55" s="3"/>
      <c r="J55" s="3"/>
    </row>
    <row r="56" customHeight="1" spans="1:10">
      <c r="A56" s="3"/>
      <c r="B56" s="6"/>
      <c r="C56" s="6"/>
      <c r="D56" s="3"/>
      <c r="E56" s="3"/>
      <c r="F56" s="3"/>
      <c r="G56" s="3"/>
      <c r="H56" s="3"/>
      <c r="I56" s="3"/>
      <c r="J56" s="3"/>
    </row>
    <row r="57" customHeight="1" spans="1:10">
      <c r="A57" s="3"/>
      <c r="B57" s="6"/>
      <c r="C57" s="6"/>
      <c r="D57" s="3"/>
      <c r="E57" s="3"/>
      <c r="F57" s="3"/>
      <c r="G57" s="3"/>
      <c r="H57" s="3"/>
      <c r="I57" s="3"/>
      <c r="J57" s="3"/>
    </row>
    <row r="58" customHeight="1" spans="1:10">
      <c r="A58" s="3"/>
      <c r="B58" s="6"/>
      <c r="C58" s="6"/>
      <c r="D58" s="3"/>
      <c r="E58" s="3"/>
      <c r="F58" s="3"/>
      <c r="G58" s="3"/>
      <c r="H58" s="3"/>
      <c r="I58" s="3"/>
      <c r="J58" s="3"/>
    </row>
    <row r="59" customHeight="1" spans="1:10">
      <c r="A59" s="3"/>
      <c r="B59" s="6"/>
      <c r="C59" s="6"/>
      <c r="D59" s="3"/>
      <c r="E59" s="3"/>
      <c r="F59" s="3"/>
      <c r="G59" s="3"/>
      <c r="H59" s="3"/>
      <c r="I59" s="3"/>
      <c r="J59" s="3"/>
    </row>
    <row r="60" customHeight="1" spans="1:10">
      <c r="A60" s="3"/>
      <c r="B60" s="6"/>
      <c r="C60" s="6"/>
      <c r="D60" s="3"/>
      <c r="E60" s="3"/>
      <c r="F60" s="3"/>
      <c r="G60" s="3"/>
      <c r="H60" s="3"/>
      <c r="I60" s="3"/>
      <c r="J60" s="3"/>
    </row>
    <row r="61" customHeight="1" spans="1:10">
      <c r="A61" s="3"/>
      <c r="B61" s="6"/>
      <c r="C61" s="6"/>
      <c r="D61" s="3"/>
      <c r="E61" s="3"/>
      <c r="F61" s="3"/>
      <c r="G61" s="3"/>
      <c r="H61" s="3"/>
      <c r="I61" s="3"/>
      <c r="J61" s="3"/>
    </row>
    <row r="62" customHeight="1" spans="1:10">
      <c r="A62" s="3"/>
      <c r="B62" s="6"/>
      <c r="C62" s="6"/>
      <c r="D62" s="3"/>
      <c r="E62" s="3"/>
      <c r="F62" s="3"/>
      <c r="G62" s="3"/>
      <c r="H62" s="3"/>
      <c r="I62" s="3"/>
      <c r="J62" s="3"/>
    </row>
    <row r="63" customHeight="1" spans="1:10">
      <c r="A63" s="3"/>
      <c r="B63" s="6"/>
      <c r="C63" s="6"/>
      <c r="D63" s="3"/>
      <c r="E63" s="3"/>
      <c r="F63" s="3"/>
      <c r="G63" s="3"/>
      <c r="H63" s="3"/>
      <c r="I63" s="3"/>
      <c r="J63" s="3"/>
    </row>
    <row r="64" customHeight="1" spans="1:10">
      <c r="A64" s="3"/>
      <c r="B64" s="6"/>
      <c r="C64" s="6"/>
      <c r="D64" s="3"/>
      <c r="E64" s="3"/>
      <c r="F64" s="3"/>
      <c r="G64" s="3"/>
      <c r="H64" s="3"/>
      <c r="I64" s="3"/>
      <c r="J64" s="3"/>
    </row>
    <row r="65" customHeight="1" spans="1:10">
      <c r="A65" s="3"/>
      <c r="B65" s="6"/>
      <c r="C65" s="6"/>
      <c r="D65" s="3"/>
      <c r="E65" s="3"/>
      <c r="F65" s="3"/>
      <c r="G65" s="3"/>
      <c r="H65" s="3"/>
      <c r="I65" s="3"/>
      <c r="J65" s="3"/>
    </row>
    <row r="66" customHeight="1" spans="1:10">
      <c r="A66" s="3"/>
      <c r="B66" s="6"/>
      <c r="C66" s="6"/>
      <c r="D66" s="3"/>
      <c r="E66" s="3"/>
      <c r="F66" s="3"/>
      <c r="G66" s="3"/>
      <c r="H66" s="3"/>
      <c r="I66" s="3"/>
      <c r="J66" s="3"/>
    </row>
    <row r="67" customHeight="1" spans="1:1">
      <c r="A67" s="3"/>
    </row>
    <row r="68" customHeight="1" spans="1:1">
      <c r="A68" s="3">
        <v>67</v>
      </c>
    </row>
    <row r="69" customHeight="1" spans="1:1">
      <c r="A69" s="3">
        <v>68</v>
      </c>
    </row>
  </sheetData>
  <mergeCells count="2">
    <mergeCell ref="I2:I25"/>
    <mergeCell ref="I26:I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～小～王子</cp:lastModifiedBy>
  <dcterms:created xsi:type="dcterms:W3CDTF">2023-04-19T08:19:00Z</dcterms:created>
  <dcterms:modified xsi:type="dcterms:W3CDTF">2023-04-22T00:17:18Z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62A0E2EE716541DEA19679EACD584A2B_11</vt:lpwstr>
  </property>
  <property fmtid="{D5CDD505-2E9C-101B-9397-08002B2CF9AE}" pid="3" name="KSOProductBuildVer">
    <vt:lpwstr>2052-11.1.0.14036</vt:lpwstr>
  </property>
</Properties>
</file>