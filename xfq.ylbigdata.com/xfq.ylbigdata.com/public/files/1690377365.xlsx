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<sst xmlns="http://schemas.openxmlformats.org/spreadsheetml/2006/main" count="158" uniqueCount="110">
  <si>
    <t>7.28榆林三日人员名单</t>
  </si>
  <si>
    <t>序号</t>
  </si>
  <si>
    <t>计调</t>
  </si>
  <si>
    <t>姓名</t>
  </si>
  <si>
    <t>身份证号码</t>
  </si>
  <si>
    <t>电话</t>
  </si>
  <si>
    <t>年龄</t>
  </si>
  <si>
    <t>车收</t>
  </si>
  <si>
    <t>捕头</t>
  </si>
  <si>
    <t>张刚民</t>
  </si>
  <si>
    <t>610326196703252230</t>
  </si>
  <si>
    <t>黄鑫宫</t>
  </si>
  <si>
    <t>610326197102111621</t>
  </si>
  <si>
    <t>黄兮嬛</t>
  </si>
  <si>
    <t>610326200801131642</t>
  </si>
  <si>
    <t>张玉翠</t>
  </si>
  <si>
    <t>610326196610151246</t>
  </si>
  <si>
    <t>张黎</t>
  </si>
  <si>
    <t>610326196509241626</t>
  </si>
  <si>
    <t>雷敏</t>
  </si>
  <si>
    <t>610322197805280020</t>
  </si>
  <si>
    <t>李云科</t>
  </si>
  <si>
    <t>610326196908120610</t>
  </si>
  <si>
    <t>王晓妮</t>
  </si>
  <si>
    <t>610326197210101447</t>
  </si>
  <si>
    <t>刘玉玲</t>
  </si>
  <si>
    <t>61032619661118164X</t>
  </si>
  <si>
    <t>李玲</t>
  </si>
  <si>
    <t>610326197208021640</t>
  </si>
  <si>
    <t>周江琴</t>
  </si>
  <si>
    <t>142722197301186429</t>
  </si>
  <si>
    <t>郭改玲</t>
  </si>
  <si>
    <t>610326197211172220</t>
  </si>
  <si>
    <t>肖兵翠</t>
  </si>
  <si>
    <t>610326197403282248</t>
  </si>
  <si>
    <t>王兰</t>
  </si>
  <si>
    <t>61032619720301162X</t>
  </si>
  <si>
    <t>赵小红</t>
  </si>
  <si>
    <t>610326197110012287</t>
  </si>
  <si>
    <t>董迎霞</t>
  </si>
  <si>
    <t>610326196612041649</t>
  </si>
  <si>
    <t>李朝阳</t>
  </si>
  <si>
    <t>610326196607142023</t>
  </si>
  <si>
    <t>邓江涛</t>
  </si>
  <si>
    <t>61032619650419201X</t>
  </si>
  <si>
    <t>邓曦瑶</t>
  </si>
  <si>
    <t>610326200712142024</t>
  </si>
  <si>
    <t>焦娅文</t>
  </si>
  <si>
    <t>610326197307121620</t>
  </si>
  <si>
    <t>王艳琴</t>
  </si>
  <si>
    <t>61032619650804062X</t>
  </si>
  <si>
    <t>何永新</t>
  </si>
  <si>
    <t>610326196302070612</t>
  </si>
  <si>
    <t>任新建</t>
  </si>
  <si>
    <t>610326196004180610</t>
  </si>
  <si>
    <t>刘红侠</t>
  </si>
  <si>
    <t>610326196408220623</t>
  </si>
  <si>
    <t>李乖丑</t>
  </si>
  <si>
    <t>610326196208250617</t>
  </si>
  <si>
    <t>何荃怀</t>
  </si>
  <si>
    <t>610326196304050623</t>
  </si>
  <si>
    <t>姗姗</t>
  </si>
  <si>
    <t>蒲万丽</t>
  </si>
  <si>
    <t>610302197608251524</t>
  </si>
  <si>
    <t>史沛昂</t>
  </si>
  <si>
    <t>610302200510253518</t>
  </si>
  <si>
    <t>史源</t>
  </si>
  <si>
    <t>610303197510120055</t>
  </si>
  <si>
    <t>李鸿生</t>
  </si>
  <si>
    <t>610302197310052012</t>
  </si>
  <si>
    <t>杨莉萍</t>
  </si>
  <si>
    <t>610322197509031126</t>
  </si>
  <si>
    <t>李小成</t>
  </si>
  <si>
    <t>610303195602032010</t>
  </si>
  <si>
    <t>侯巧玲</t>
  </si>
  <si>
    <t>610303194601160024</t>
  </si>
  <si>
    <t>李文军</t>
  </si>
  <si>
    <t>610303196311060438</t>
  </si>
  <si>
    <t>王华</t>
  </si>
  <si>
    <t>610303196604090446</t>
  </si>
  <si>
    <t>王辉</t>
  </si>
  <si>
    <t>61032119481219151X</t>
  </si>
  <si>
    <t>贾志杰</t>
  </si>
  <si>
    <t>610321194911080436</t>
  </si>
  <si>
    <t>姚速计</t>
  </si>
  <si>
    <t>610321195202281539</t>
  </si>
  <si>
    <t>田婷婷</t>
  </si>
  <si>
    <t>610430198505136940</t>
  </si>
  <si>
    <t>苑静文</t>
  </si>
  <si>
    <t>610302197907074812</t>
  </si>
  <si>
    <t>苑熠</t>
  </si>
  <si>
    <t>61030220101221203X</t>
  </si>
  <si>
    <t>黄和平</t>
  </si>
  <si>
    <t>610321196005181154</t>
  </si>
  <si>
    <t>张文娟</t>
  </si>
  <si>
    <t>61032119541014002X</t>
  </si>
  <si>
    <t>黄俊熙</t>
  </si>
  <si>
    <t>610304201108150059</t>
  </si>
  <si>
    <t>马文超</t>
  </si>
  <si>
    <t>610321196807066414</t>
  </si>
  <si>
    <t>王全巧</t>
  </si>
  <si>
    <t>610321197409100028</t>
  </si>
  <si>
    <t>赵彩霞</t>
  </si>
  <si>
    <t>610323196207160522</t>
  </si>
  <si>
    <t>王亚文</t>
  </si>
  <si>
    <t>610323196711020588</t>
  </si>
  <si>
    <t>王苗</t>
  </si>
  <si>
    <t>610323198910260946</t>
  </si>
  <si>
    <t>董亦辰</t>
  </si>
  <si>
    <t>610322201412091113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</si>
</sst>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&quot;&quot;;General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4"/>
      <color theme="1"/>
      <name val="楷体"/>
      <charset val="134"/>
    </font>
    <font>
      <sz val="12"/>
      <name val="宋体"/>
      <charset val="134"/>
      <scheme val="minor"/>
    </font>
    <font>
      <sz val="12"/>
      <color rgb="FF333333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176" fontId="0" fillId="0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C000"/>
        </patternFill>
      </fill>
    </dxf>
    <dxf>
      <fill>
        <patternFill patternType="solid">
          <bgColor theme="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topLeftCell="A24" workbookViewId="0">
      <selection activeCell="J36" sqref="J36"/>
    </sheetView>
  </sheetViews>
  <sheetFormatPr defaultColWidth="9" defaultRowHeight="21" customHeight="1" outlineLevelCol="7"/>
  <cols>
    <col min="1" max="1" width="4.125" style="3" customWidth="1"/>
    <col min="2" max="2" width="6.375" style="1" customWidth="1"/>
    <col min="3" max="3" width="7" style="1" customWidth="1"/>
    <col min="4" max="4" width="20.375" style="4" customWidth="1"/>
    <col min="5" max="5" width="13.625" style="5" customWidth="1"/>
    <col min="6" max="6" width="5.375" style="6" customWidth="1"/>
    <col min="7" max="7" width="5.375" style="6" hidden="1" customWidth="1"/>
    <col min="8" max="8" width="1.625" style="3" customWidth="1"/>
    <col min="9" max="16384" width="9" style="3"/>
  </cols>
  <sheetData>
    <row r="1" s="1" customFormat="1" ht="35" customHeight="1" spans="1:7">
      <c r="A1" s="7" t="s">
        <v>0</v>
      </c>
      <c r="B1" s="7"/>
      <c r="C1" s="7"/>
      <c r="D1" s="7"/>
      <c r="E1" s="8"/>
      <c r="F1" s="7"/>
      <c r="G1" s="7"/>
    </row>
    <row r="2" s="2" customFormat="1" customHeight="1" spans="1:7">
      <c r="A2" s="9" t="s">
        <v>1</v>
      </c>
      <c r="B2" s="9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2" t="s">
        <v>7</v>
      </c>
    </row>
    <row r="3" s="3" customFormat="1" customHeight="1" spans="1:7">
      <c r="A3" s="13">
        <v>1</v>
      </c>
      <c r="B3" s="14" t="s">
        <v>8</v>
      </c>
      <c r="C3" s="13" t="s">
        <v>9</v>
      </c>
      <c r="D3" s="15" t="s">
        <v>10</v>
      </c>
      <c r="E3" s="16">
        <v>13992717556</v>
      </c>
      <c r="F3" s="17">
        <f ca="1">IF(D3&lt;&gt;0,YEAR(TODAY())-MID(D3,7,4),0)</f>
        <v>56</v>
      </c>
      <c r="G3" s="18">
        <f ca="1">+IF(F3&gt;=65,118,IF(F3&lt;&gt;0,IF(F3&gt;18,138,128),0))</f>
        <v>138</v>
      </c>
    </row>
    <row r="4" s="3" customFormat="1" customHeight="1" spans="1:7">
      <c r="A4" s="13">
        <v>2</v>
      </c>
      <c r="B4" s="14" t="s">
        <v>8</v>
      </c>
      <c r="C4" s="19" t="s">
        <v>11</v>
      </c>
      <c r="D4" s="20" t="s">
        <v>12</v>
      </c>
      <c r="E4" s="16">
        <v>19992093955</v>
      </c>
      <c r="F4" s="17">
        <f ca="1" t="shared" ref="F4:F15" si="0">IF(D4&lt;&gt;0,YEAR(TODAY())-MID(D4,7,4),0)</f>
        <v>52</v>
      </c>
      <c r="G4" s="18">
        <f ca="1" t="shared" ref="G4:G15" si="1">+IF(F4&gt;=65,118,IF(F4&lt;&gt;0,IF(F4&gt;18,138,128),0))</f>
        <v>138</v>
      </c>
    </row>
    <row r="5" s="3" customFormat="1" customHeight="1" spans="1:8">
      <c r="A5" s="13">
        <v>3</v>
      </c>
      <c r="B5" s="14" t="s">
        <v>8</v>
      </c>
      <c r="C5" s="13" t="s">
        <v>13</v>
      </c>
      <c r="D5" s="15" t="s">
        <v>14</v>
      </c>
      <c r="E5" s="16">
        <v>15292687202</v>
      </c>
      <c r="F5" s="17">
        <f ca="1" t="shared" si="0"/>
        <v>15</v>
      </c>
      <c r="G5" s="18">
        <f ca="1" t="shared" si="1"/>
        <v>128</v>
      </c>
      <c r="H5" s="1"/>
    </row>
    <row r="6" s="3" customFormat="1" customHeight="1" spans="1:7">
      <c r="A6" s="13">
        <v>4</v>
      </c>
      <c r="B6" s="14" t="s">
        <v>8</v>
      </c>
      <c r="C6" s="19" t="s">
        <v>15</v>
      </c>
      <c r="D6" s="20" t="s">
        <v>16</v>
      </c>
      <c r="E6" s="16">
        <v>13571770518</v>
      </c>
      <c r="F6" s="17">
        <f ca="1" t="shared" si="0"/>
        <v>57</v>
      </c>
      <c r="G6" s="18">
        <f ca="1" t="shared" si="1"/>
        <v>138</v>
      </c>
    </row>
    <row r="7" s="3" customFormat="1" customHeight="1" spans="1:7">
      <c r="A7" s="13">
        <v>5</v>
      </c>
      <c r="B7" s="14" t="s">
        <v>8</v>
      </c>
      <c r="C7" s="19" t="s">
        <v>17</v>
      </c>
      <c r="D7" s="20" t="s">
        <v>18</v>
      </c>
      <c r="E7" s="16">
        <v>13892729296</v>
      </c>
      <c r="F7" s="17">
        <f ca="1" t="shared" si="0"/>
        <v>58</v>
      </c>
      <c r="G7" s="18">
        <f ca="1" t="shared" si="1"/>
        <v>138</v>
      </c>
    </row>
    <row r="8" s="3" customFormat="1" customHeight="1" spans="1:7">
      <c r="A8" s="13">
        <v>6</v>
      </c>
      <c r="B8" s="14" t="s">
        <v>8</v>
      </c>
      <c r="C8" s="19" t="s">
        <v>19</v>
      </c>
      <c r="D8" s="20" t="s">
        <v>20</v>
      </c>
      <c r="E8" s="16">
        <v>15691520119</v>
      </c>
      <c r="F8" s="17">
        <f ca="1" t="shared" si="0"/>
        <v>45</v>
      </c>
      <c r="G8" s="18">
        <f ca="1" t="shared" si="1"/>
        <v>138</v>
      </c>
    </row>
    <row r="9" s="3" customFormat="1" customHeight="1" spans="1:7">
      <c r="A9" s="13">
        <v>7</v>
      </c>
      <c r="B9" s="14" t="s">
        <v>8</v>
      </c>
      <c r="C9" s="19" t="s">
        <v>21</v>
      </c>
      <c r="D9" s="20" t="s">
        <v>22</v>
      </c>
      <c r="E9" s="16">
        <v>13571769906</v>
      </c>
      <c r="F9" s="17">
        <f ca="1" t="shared" si="0"/>
        <v>54</v>
      </c>
      <c r="G9" s="18">
        <f ca="1" t="shared" si="1"/>
        <v>138</v>
      </c>
    </row>
    <row r="10" s="3" customFormat="1" customHeight="1" spans="1:7">
      <c r="A10" s="13">
        <v>8</v>
      </c>
      <c r="B10" s="14" t="s">
        <v>8</v>
      </c>
      <c r="C10" s="13" t="s">
        <v>23</v>
      </c>
      <c r="D10" s="20" t="s">
        <v>24</v>
      </c>
      <c r="E10" s="21">
        <v>13609275380</v>
      </c>
      <c r="F10" s="17">
        <f ca="1" t="shared" si="0"/>
        <v>51</v>
      </c>
      <c r="G10" s="18">
        <f ca="1" t="shared" si="1"/>
        <v>138</v>
      </c>
    </row>
    <row r="11" s="3" customFormat="1" customHeight="1" spans="1:7">
      <c r="A11" s="13">
        <v>9</v>
      </c>
      <c r="B11" s="14" t="s">
        <v>8</v>
      </c>
      <c r="C11" s="13" t="s">
        <v>25</v>
      </c>
      <c r="D11" s="20" t="s">
        <v>26</v>
      </c>
      <c r="E11" s="21">
        <v>18509177108</v>
      </c>
      <c r="F11" s="17">
        <f ca="1" t="shared" si="0"/>
        <v>57</v>
      </c>
      <c r="G11" s="18">
        <f ca="1" t="shared" si="1"/>
        <v>138</v>
      </c>
    </row>
    <row r="12" s="3" customFormat="1" customHeight="1" spans="1:7">
      <c r="A12" s="13">
        <v>10</v>
      </c>
      <c r="B12" s="14" t="s">
        <v>8</v>
      </c>
      <c r="C12" s="13" t="s">
        <v>27</v>
      </c>
      <c r="D12" s="20" t="s">
        <v>28</v>
      </c>
      <c r="E12" s="21">
        <v>13571166046</v>
      </c>
      <c r="F12" s="17">
        <f ca="1" t="shared" si="0"/>
        <v>51</v>
      </c>
      <c r="G12" s="18">
        <f ca="1" t="shared" si="1"/>
        <v>138</v>
      </c>
    </row>
    <row r="13" s="3" customFormat="1" customHeight="1" spans="1:7">
      <c r="A13" s="13">
        <v>11</v>
      </c>
      <c r="B13" s="14" t="s">
        <v>8</v>
      </c>
      <c r="C13" s="13" t="s">
        <v>29</v>
      </c>
      <c r="D13" s="20" t="s">
        <v>30</v>
      </c>
      <c r="E13" s="21">
        <v>19929193375</v>
      </c>
      <c r="F13" s="17">
        <f ca="1" t="shared" si="0"/>
        <v>50</v>
      </c>
      <c r="G13" s="18">
        <f ca="1" t="shared" si="1"/>
        <v>138</v>
      </c>
    </row>
    <row r="14" s="3" customFormat="1" customHeight="1" spans="1:7">
      <c r="A14" s="13">
        <v>12</v>
      </c>
      <c r="B14" s="14" t="s">
        <v>8</v>
      </c>
      <c r="C14" s="13" t="s">
        <v>31</v>
      </c>
      <c r="D14" s="20" t="s">
        <v>32</v>
      </c>
      <c r="E14" s="21">
        <v>13571753157</v>
      </c>
      <c r="F14" s="17">
        <f ca="1" t="shared" si="0"/>
        <v>51</v>
      </c>
      <c r="G14" s="18">
        <f ca="1" t="shared" si="1"/>
        <v>138</v>
      </c>
    </row>
    <row r="15" s="3" customFormat="1" customHeight="1" spans="1:7">
      <c r="A15" s="13">
        <v>13</v>
      </c>
      <c r="B15" s="14" t="s">
        <v>8</v>
      </c>
      <c r="C15" s="13" t="s">
        <v>33</v>
      </c>
      <c r="D15" s="20" t="s">
        <v>34</v>
      </c>
      <c r="E15" s="21">
        <v>13891779907</v>
      </c>
      <c r="F15" s="17">
        <f ca="1" t="shared" si="0"/>
        <v>49</v>
      </c>
      <c r="G15" s="18">
        <f ca="1" t="shared" si="1"/>
        <v>138</v>
      </c>
    </row>
    <row r="16" s="3" customFormat="1" customHeight="1" spans="1:7">
      <c r="A16" s="13">
        <v>14</v>
      </c>
      <c r="B16" s="14" t="s">
        <v>8</v>
      </c>
      <c r="C16" s="13" t="s">
        <v>35</v>
      </c>
      <c r="D16" s="20" t="s">
        <v>36</v>
      </c>
      <c r="E16" s="21">
        <v>13891779907</v>
      </c>
      <c r="F16" s="17">
        <f ca="1" t="shared" ref="F16:F24" si="2">IF(D16&lt;&gt;0,YEAR(TODAY())-MID(D16,7,4),0)</f>
        <v>51</v>
      </c>
      <c r="G16" s="18">
        <f ca="1" t="shared" ref="G16:G24" si="3">+IF(F16&gt;=65,118,IF(F16&lt;&gt;0,IF(F16&gt;18,138,128),0))</f>
        <v>138</v>
      </c>
    </row>
    <row r="17" s="3" customFormat="1" customHeight="1" spans="1:7">
      <c r="A17" s="13">
        <v>15</v>
      </c>
      <c r="B17" s="14" t="s">
        <v>8</v>
      </c>
      <c r="C17" s="13" t="s">
        <v>37</v>
      </c>
      <c r="D17" s="20" t="s">
        <v>38</v>
      </c>
      <c r="E17" s="21">
        <v>18109171588</v>
      </c>
      <c r="F17" s="17">
        <f ca="1" t="shared" si="2"/>
        <v>52</v>
      </c>
      <c r="G17" s="18">
        <f ca="1" t="shared" si="3"/>
        <v>138</v>
      </c>
    </row>
    <row r="18" s="3" customFormat="1" customHeight="1" spans="1:7">
      <c r="A18" s="13">
        <v>16</v>
      </c>
      <c r="B18" s="14" t="s">
        <v>8</v>
      </c>
      <c r="C18" s="13" t="s">
        <v>39</v>
      </c>
      <c r="D18" s="20" t="s">
        <v>40</v>
      </c>
      <c r="E18" s="21">
        <v>18091743399</v>
      </c>
      <c r="F18" s="17">
        <f ca="1" t="shared" si="2"/>
        <v>57</v>
      </c>
      <c r="G18" s="18">
        <f ca="1" t="shared" si="3"/>
        <v>138</v>
      </c>
    </row>
    <row r="19" s="3" customFormat="1" customHeight="1" spans="1:7">
      <c r="A19" s="13">
        <v>17</v>
      </c>
      <c r="B19" s="14" t="s">
        <v>8</v>
      </c>
      <c r="C19" s="13" t="s">
        <v>41</v>
      </c>
      <c r="D19" s="20" t="s">
        <v>42</v>
      </c>
      <c r="E19" s="21">
        <v>18992729950</v>
      </c>
      <c r="F19" s="17">
        <f ca="1" t="shared" si="2"/>
        <v>57</v>
      </c>
      <c r="G19" s="18">
        <f ca="1" t="shared" si="3"/>
        <v>138</v>
      </c>
    </row>
    <row r="20" s="3" customFormat="1" customHeight="1" spans="1:7">
      <c r="A20" s="13">
        <v>18</v>
      </c>
      <c r="B20" s="14" t="s">
        <v>8</v>
      </c>
      <c r="C20" s="13" t="s">
        <v>43</v>
      </c>
      <c r="D20" s="20" t="s">
        <v>44</v>
      </c>
      <c r="E20" s="21">
        <v>18992729836</v>
      </c>
      <c r="F20" s="17">
        <f ca="1" t="shared" si="2"/>
        <v>58</v>
      </c>
      <c r="G20" s="18">
        <f ca="1" t="shared" si="3"/>
        <v>138</v>
      </c>
    </row>
    <row r="21" s="3" customFormat="1" customHeight="1" spans="1:7">
      <c r="A21" s="13">
        <v>19</v>
      </c>
      <c r="B21" s="14" t="s">
        <v>8</v>
      </c>
      <c r="C21" s="13" t="s">
        <v>45</v>
      </c>
      <c r="D21" s="20" t="s">
        <v>46</v>
      </c>
      <c r="E21" s="21">
        <v>18992729905</v>
      </c>
      <c r="F21" s="17">
        <f ca="1" t="shared" si="2"/>
        <v>16</v>
      </c>
      <c r="G21" s="18">
        <f ca="1" t="shared" si="3"/>
        <v>128</v>
      </c>
    </row>
    <row r="22" s="3" customFormat="1" customHeight="1" spans="1:7">
      <c r="A22" s="13">
        <v>20</v>
      </c>
      <c r="B22" s="14" t="s">
        <v>8</v>
      </c>
      <c r="C22" s="13" t="s">
        <v>47</v>
      </c>
      <c r="D22" s="20" t="s">
        <v>48</v>
      </c>
      <c r="E22" s="21">
        <v>13891708955</v>
      </c>
      <c r="F22" s="17">
        <f ca="1" t="shared" ref="F22:F33" si="4">IF(D22&lt;&gt;0,YEAR(TODAY())-MID(D22,7,4),0)</f>
        <v>50</v>
      </c>
      <c r="G22" s="18"/>
    </row>
    <row r="23" s="3" customFormat="1" customHeight="1" spans="1:7">
      <c r="A23" s="13">
        <v>21</v>
      </c>
      <c r="B23" s="14" t="s">
        <v>8</v>
      </c>
      <c r="C23" s="13" t="s">
        <v>49</v>
      </c>
      <c r="D23" s="20" t="s">
        <v>50</v>
      </c>
      <c r="E23" s="21">
        <v>15291718295</v>
      </c>
      <c r="F23" s="17">
        <f ca="1" t="shared" si="4"/>
        <v>58</v>
      </c>
      <c r="G23" s="18"/>
    </row>
    <row r="24" s="3" customFormat="1" customHeight="1" spans="1:7">
      <c r="A24" s="13">
        <v>22</v>
      </c>
      <c r="B24" s="14" t="s">
        <v>8</v>
      </c>
      <c r="C24" s="13" t="s">
        <v>51</v>
      </c>
      <c r="D24" s="20" t="s">
        <v>52</v>
      </c>
      <c r="E24" s="21">
        <v>13892418926</v>
      </c>
      <c r="F24" s="17">
        <f ca="1" t="shared" si="4"/>
        <v>60</v>
      </c>
      <c r="G24" s="18"/>
    </row>
    <row r="25" s="3" customFormat="1" customHeight="1" spans="1:7">
      <c r="A25" s="13">
        <v>23</v>
      </c>
      <c r="B25" s="14" t="s">
        <v>8</v>
      </c>
      <c r="C25" s="13" t="s">
        <v>53</v>
      </c>
      <c r="D25" s="20" t="s">
        <v>54</v>
      </c>
      <c r="E25" s="21">
        <v>13892484464</v>
      </c>
      <c r="F25" s="17">
        <f ca="1" t="shared" si="4"/>
        <v>63</v>
      </c>
      <c r="G25" s="18"/>
    </row>
    <row r="26" s="3" customFormat="1" customHeight="1" spans="1:7">
      <c r="A26" s="13">
        <v>24</v>
      </c>
      <c r="B26" s="14" t="s">
        <v>8</v>
      </c>
      <c r="C26" s="13" t="s">
        <v>55</v>
      </c>
      <c r="D26" s="20" t="s">
        <v>56</v>
      </c>
      <c r="E26" s="21">
        <v>15891070920</v>
      </c>
      <c r="F26" s="17">
        <f ca="1" t="shared" si="4"/>
        <v>59</v>
      </c>
      <c r="G26" s="18"/>
    </row>
    <row r="27" s="3" customFormat="1" customHeight="1" spans="1:7">
      <c r="A27" s="13">
        <v>25</v>
      </c>
      <c r="B27" s="14" t="s">
        <v>8</v>
      </c>
      <c r="C27" s="13" t="s">
        <v>57</v>
      </c>
      <c r="D27" s="20" t="s">
        <v>58</v>
      </c>
      <c r="E27" s="21">
        <v>13891782728</v>
      </c>
      <c r="F27" s="17">
        <f ca="1" t="shared" si="4"/>
        <v>61</v>
      </c>
      <c r="G27" s="18"/>
    </row>
    <row r="28" s="3" customFormat="1" customHeight="1" spans="1:7">
      <c r="A28" s="13">
        <v>26</v>
      </c>
      <c r="B28" s="14" t="s">
        <v>8</v>
      </c>
      <c r="C28" s="13" t="s">
        <v>59</v>
      </c>
      <c r="D28" s="20" t="s">
        <v>60</v>
      </c>
      <c r="E28" s="21">
        <v>13468630303</v>
      </c>
      <c r="F28" s="17">
        <f ca="1" t="shared" si="4"/>
        <v>60</v>
      </c>
      <c r="G28" s="18"/>
    </row>
    <row r="29" s="3" customFormat="1" customHeight="1" spans="1:7">
      <c r="A29" s="13">
        <v>27</v>
      </c>
      <c r="B29" s="13" t="s">
        <v>61</v>
      </c>
      <c r="C29" s="13" t="s">
        <v>62</v>
      </c>
      <c r="D29" s="20" t="s">
        <v>63</v>
      </c>
      <c r="E29" s="21">
        <v>15319188516</v>
      </c>
      <c r="F29" s="17">
        <f ca="1" t="shared" si="4"/>
        <v>47</v>
      </c>
      <c r="G29" s="18">
        <f ca="1">+IF(F29&gt;=65,118,IF(F29&lt;&gt;0,IF(F29&gt;18,138,128),0))</f>
        <v>138</v>
      </c>
    </row>
    <row r="30" s="3" customFormat="1" customHeight="1" spans="1:7">
      <c r="A30" s="13">
        <v>28</v>
      </c>
      <c r="B30" s="13" t="s">
        <v>61</v>
      </c>
      <c r="C30" s="13" t="s">
        <v>64</v>
      </c>
      <c r="D30" s="20" t="s">
        <v>65</v>
      </c>
      <c r="E30" s="21">
        <v>15319188612</v>
      </c>
      <c r="F30" s="17">
        <f ca="1" t="shared" si="4"/>
        <v>18</v>
      </c>
      <c r="G30" s="18">
        <f ca="1">+IF(F30&gt;=65,118,IF(F30&lt;&gt;0,IF(F30&gt;18,138,128),0))</f>
        <v>128</v>
      </c>
    </row>
    <row r="31" s="3" customFormat="1" customHeight="1" spans="1:7">
      <c r="A31" s="13">
        <v>29</v>
      </c>
      <c r="B31" s="13" t="s">
        <v>61</v>
      </c>
      <c r="C31" s="13" t="s">
        <v>66</v>
      </c>
      <c r="D31" s="20" t="s">
        <v>67</v>
      </c>
      <c r="E31" s="21">
        <v>15319188613</v>
      </c>
      <c r="F31" s="17">
        <f ca="1" t="shared" si="4"/>
        <v>48</v>
      </c>
      <c r="G31" s="18">
        <f ca="1">+IF(F31&gt;=65,118,IF(F31&lt;&gt;0,IF(F31&gt;18,138,128),0))</f>
        <v>138</v>
      </c>
    </row>
    <row r="32" s="3" customFormat="1" customHeight="1" spans="1:7">
      <c r="A32" s="13">
        <v>30</v>
      </c>
      <c r="B32" s="13" t="s">
        <v>8</v>
      </c>
      <c r="C32" s="13" t="s">
        <v>68</v>
      </c>
      <c r="D32" s="20" t="s">
        <v>69</v>
      </c>
      <c r="E32" s="21">
        <v>13259216711</v>
      </c>
      <c r="F32" s="17">
        <f ca="1" t="shared" si="4"/>
        <v>50</v>
      </c>
      <c r="G32" s="22"/>
    </row>
    <row r="33" s="3" customFormat="1" customHeight="1" spans="1:7">
      <c r="A33" s="13">
        <v>31</v>
      </c>
      <c r="B33" s="13" t="s">
        <v>8</v>
      </c>
      <c r="C33" s="13" t="s">
        <v>70</v>
      </c>
      <c r="D33" s="20" t="s">
        <v>71</v>
      </c>
      <c r="E33" s="21">
        <v>13259216721</v>
      </c>
      <c r="F33" s="17">
        <f ca="1" t="shared" si="4"/>
        <v>48</v>
      </c>
      <c r="G33" s="22"/>
    </row>
    <row r="34" s="3" customFormat="1" customHeight="1" spans="1:7">
      <c r="A34" s="13">
        <v>32</v>
      </c>
      <c r="B34" s="13" t="s">
        <v>8</v>
      </c>
      <c r="C34" s="13" t="s">
        <v>72</v>
      </c>
      <c r="D34" s="20" t="s">
        <v>73</v>
      </c>
      <c r="E34" s="21">
        <v>13220095902</v>
      </c>
      <c r="F34" s="17">
        <f ca="1" t="shared" ref="F34:F52" si="5">IF(D34&lt;&gt;0,YEAR(TODAY())-MID(D34,7,4),0)</f>
        <v>67</v>
      </c>
      <c r="G34" s="22"/>
    </row>
    <row r="35" customHeight="1" spans="1:7">
      <c r="A35" s="13">
        <v>33</v>
      </c>
      <c r="B35" s="13" t="s">
        <v>8</v>
      </c>
      <c r="C35" s="13" t="s">
        <v>74</v>
      </c>
      <c r="D35" s="20" t="s">
        <v>75</v>
      </c>
      <c r="E35" s="21">
        <v>18609178902</v>
      </c>
      <c r="F35" s="17">
        <f ca="1" t="shared" si="5"/>
        <v>77</v>
      </c>
      <c r="G35" s="22"/>
    </row>
    <row r="36" customHeight="1" spans="1:7">
      <c r="A36" s="13">
        <v>34</v>
      </c>
      <c r="B36" s="13" t="s">
        <v>8</v>
      </c>
      <c r="C36" s="13" t="s">
        <v>76</v>
      </c>
      <c r="D36" s="20" t="s">
        <v>77</v>
      </c>
      <c r="E36" s="21">
        <v>13669171225</v>
      </c>
      <c r="F36" s="17">
        <f ca="1" t="shared" si="5"/>
        <v>60</v>
      </c>
      <c r="G36" s="22"/>
    </row>
    <row r="37" customHeight="1" spans="1:7">
      <c r="A37" s="13">
        <v>35</v>
      </c>
      <c r="B37" s="13" t="s">
        <v>8</v>
      </c>
      <c r="C37" s="13" t="s">
        <v>78</v>
      </c>
      <c r="D37" s="20" t="s">
        <v>79</v>
      </c>
      <c r="E37" s="21">
        <v>13669170525</v>
      </c>
      <c r="F37" s="17">
        <f ca="1" t="shared" si="5"/>
        <v>57</v>
      </c>
      <c r="G37" s="22"/>
    </row>
    <row r="38" customHeight="1" spans="1:7">
      <c r="A38" s="13">
        <v>36</v>
      </c>
      <c r="B38" s="13" t="s">
        <v>8</v>
      </c>
      <c r="C38" s="13" t="s">
        <v>80</v>
      </c>
      <c r="D38" s="20" t="s">
        <v>81</v>
      </c>
      <c r="E38" s="21">
        <v>13992727589</v>
      </c>
      <c r="F38" s="17">
        <f ca="1" t="shared" si="5"/>
        <v>75</v>
      </c>
      <c r="G38" s="22"/>
    </row>
    <row r="39" customHeight="1" spans="1:7">
      <c r="A39" s="13">
        <v>37</v>
      </c>
      <c r="B39" s="13" t="s">
        <v>8</v>
      </c>
      <c r="C39" s="13" t="s">
        <v>82</v>
      </c>
      <c r="D39" s="20" t="s">
        <v>83</v>
      </c>
      <c r="E39" s="21">
        <v>15529057030</v>
      </c>
      <c r="F39" s="17">
        <f ca="1" t="shared" si="5"/>
        <v>74</v>
      </c>
      <c r="G39" s="22"/>
    </row>
    <row r="40" customHeight="1" spans="1:7">
      <c r="A40" s="13">
        <v>38</v>
      </c>
      <c r="B40" s="13" t="s">
        <v>8</v>
      </c>
      <c r="C40" s="13" t="s">
        <v>84</v>
      </c>
      <c r="D40" s="20" t="s">
        <v>85</v>
      </c>
      <c r="E40" s="21">
        <v>13636758510</v>
      </c>
      <c r="F40" s="17">
        <f ca="1" t="shared" si="5"/>
        <v>71</v>
      </c>
      <c r="G40" s="22"/>
    </row>
    <row r="41" customHeight="1" spans="1:7">
      <c r="A41" s="13">
        <v>39</v>
      </c>
      <c r="B41" s="13" t="s">
        <v>8</v>
      </c>
      <c r="C41" s="13" t="s">
        <v>86</v>
      </c>
      <c r="D41" s="20" t="s">
        <v>87</v>
      </c>
      <c r="E41" s="21">
        <v>17691396371</v>
      </c>
      <c r="F41" s="17">
        <f ca="1" t="shared" si="5"/>
        <v>38</v>
      </c>
      <c r="G41" s="22"/>
    </row>
    <row r="42" customHeight="1" spans="1:7">
      <c r="A42" s="13">
        <v>40</v>
      </c>
      <c r="B42" s="13" t="s">
        <v>8</v>
      </c>
      <c r="C42" s="13" t="s">
        <v>88</v>
      </c>
      <c r="D42" s="20" t="s">
        <v>89</v>
      </c>
      <c r="E42" s="21">
        <v>13891711976</v>
      </c>
      <c r="F42" s="17">
        <f ca="1" t="shared" si="5"/>
        <v>44</v>
      </c>
      <c r="G42" s="22"/>
    </row>
    <row r="43" customHeight="1" spans="1:7">
      <c r="A43" s="13">
        <v>41</v>
      </c>
      <c r="B43" s="13" t="s">
        <v>8</v>
      </c>
      <c r="C43" s="13" t="s">
        <v>90</v>
      </c>
      <c r="D43" s="20" t="s">
        <v>91</v>
      </c>
      <c r="E43" s="21">
        <v>13991730740</v>
      </c>
      <c r="F43" s="17">
        <f ca="1" t="shared" si="5"/>
        <v>13</v>
      </c>
      <c r="G43" s="22"/>
    </row>
    <row r="44" customHeight="1" spans="1:7">
      <c r="A44" s="13">
        <v>42</v>
      </c>
      <c r="B44" s="13" t="s">
        <v>8</v>
      </c>
      <c r="C44" s="13" t="s">
        <v>92</v>
      </c>
      <c r="D44" s="20" t="s">
        <v>93</v>
      </c>
      <c r="E44" s="21">
        <v>13186379716</v>
      </c>
      <c r="F44" s="17">
        <f ca="1" t="shared" si="5"/>
        <v>63</v>
      </c>
      <c r="G44" s="23"/>
    </row>
    <row r="45" customHeight="1" spans="1:7">
      <c r="A45" s="13">
        <v>43</v>
      </c>
      <c r="B45" s="13" t="s">
        <v>8</v>
      </c>
      <c r="C45" s="13" t="s">
        <v>94</v>
      </c>
      <c r="D45" s="20" t="s">
        <v>95</v>
      </c>
      <c r="E45" s="21">
        <v>13891739639</v>
      </c>
      <c r="F45" s="17">
        <f ca="1" t="shared" si="5"/>
        <v>69</v>
      </c>
      <c r="G45" s="23"/>
    </row>
    <row r="46" customHeight="1" spans="1:7">
      <c r="A46" s="13">
        <v>44</v>
      </c>
      <c r="B46" s="13" t="s">
        <v>8</v>
      </c>
      <c r="C46" s="13" t="s">
        <v>96</v>
      </c>
      <c r="D46" s="20" t="s">
        <v>97</v>
      </c>
      <c r="E46" s="21">
        <v>13992797575</v>
      </c>
      <c r="F46" s="17">
        <f ca="1" t="shared" si="5"/>
        <v>12</v>
      </c>
      <c r="G46" s="23"/>
    </row>
    <row r="47" customHeight="1" spans="1:7">
      <c r="A47" s="13">
        <v>45</v>
      </c>
      <c r="B47" s="13" t="s">
        <v>8</v>
      </c>
      <c r="C47" s="13" t="s">
        <v>98</v>
      </c>
      <c r="D47" s="20" t="s">
        <v>99</v>
      </c>
      <c r="E47" s="21">
        <v>13619179568</v>
      </c>
      <c r="F47" s="17">
        <f ca="1" t="shared" si="5"/>
        <v>55</v>
      </c>
      <c r="G47" s="22"/>
    </row>
    <row r="48" customHeight="1" spans="1:7">
      <c r="A48" s="13">
        <v>46</v>
      </c>
      <c r="B48" s="13" t="s">
        <v>8</v>
      </c>
      <c r="C48" s="13" t="s">
        <v>100</v>
      </c>
      <c r="D48" s="20" t="s">
        <v>101</v>
      </c>
      <c r="E48" s="21">
        <v>13892496016</v>
      </c>
      <c r="F48" s="17">
        <f ca="1" t="shared" si="5"/>
        <v>49</v>
      </c>
      <c r="G48" s="22"/>
    </row>
    <row r="49" customHeight="1" spans="1:7">
      <c r="A49" s="13">
        <v>47</v>
      </c>
      <c r="B49" s="13" t="s">
        <v>8</v>
      </c>
      <c r="C49" s="13" t="s">
        <v>102</v>
      </c>
      <c r="D49" s="20" t="s">
        <v>103</v>
      </c>
      <c r="E49" s="21">
        <v>13892727579</v>
      </c>
      <c r="F49" s="17">
        <f ca="1" t="shared" si="5"/>
        <v>61</v>
      </c>
      <c r="G49" s="22"/>
    </row>
    <row r="50" customHeight="1" spans="1:7">
      <c r="A50" s="13">
        <v>48</v>
      </c>
      <c r="B50" s="13" t="s">
        <v>8</v>
      </c>
      <c r="C50" s="13" t="s">
        <v>104</v>
      </c>
      <c r="D50" s="20" t="s">
        <v>105</v>
      </c>
      <c r="E50" s="21">
        <v>13571166711</v>
      </c>
      <c r="F50" s="17">
        <f ca="1" t="shared" si="5"/>
        <v>56</v>
      </c>
      <c r="G50" s="22"/>
    </row>
    <row r="51" customHeight="1" spans="1:7">
      <c r="A51" s="13">
        <v>49</v>
      </c>
      <c r="B51" s="13" t="s">
        <v>8</v>
      </c>
      <c r="C51" s="13" t="s">
        <v>106</v>
      </c>
      <c r="D51" s="20" t="s">
        <v>107</v>
      </c>
      <c r="E51" s="21">
        <v>18391709118</v>
      </c>
      <c r="F51" s="17">
        <f ca="1" t="shared" si="5"/>
        <v>34</v>
      </c>
      <c r="G51" s="22"/>
    </row>
    <row r="52" customHeight="1" spans="1:7">
      <c r="A52" s="13">
        <v>50</v>
      </c>
      <c r="B52" s="13" t="s">
        <v>8</v>
      </c>
      <c r="C52" s="13" t="s">
        <v>108</v>
      </c>
      <c r="D52" s="20" t="s">
        <v>109</v>
      </c>
      <c r="E52" s="21">
        <v>18791871853</v>
      </c>
      <c r="F52" s="17">
        <f ca="1" t="shared" si="5"/>
        <v>9</v>
      </c>
      <c r="G52" s="22"/>
    </row>
  </sheetData>
  <mergeCells count="1">
    <mergeCell ref="A1:G1"/>
  </mergeCells>
  <conditionalFormatting sqref="F3:F11">
    <cfRule type="cellIs" dxfId="0" priority="9" operator="greaterThan">
      <formula>65</formula>
    </cfRule>
  </conditionalFormatting>
  <conditionalFormatting sqref="F12:F52">
    <cfRule type="cellIs" dxfId="1" priority="5" operator="equal">
      <formula>65</formula>
    </cfRule>
    <cfRule type="cellIs" dxfId="0" priority="6" operator="greaterThan">
      <formula>65</formula>
    </cfRule>
  </conditionalFormatting>
  <conditionalFormatting sqref="F53:F1048576">
    <cfRule type="cellIs" dxfId="0" priority="11" operator="greaterThan">
      <formula>65</formula>
    </cfRule>
  </conditionalFormatting>
  <conditionalFormatting sqref="G3:G14">
    <cfRule type="cellIs" dxfId="1" priority="1" operator="equal">
      <formula>98</formula>
    </cfRule>
    <cfRule type="cellIs" dxfId="0" priority="2" operator="equal">
      <formula>78</formula>
    </cfRule>
  </conditionalFormatting>
  <conditionalFormatting sqref="G15:G31">
    <cfRule type="cellIs" dxfId="1" priority="3" operator="equal">
      <formula>98</formula>
    </cfRule>
    <cfRule type="cellIs" dxfId="0" priority="4" operator="equal">
      <formula>78</formula>
    </cfRule>
  </conditionalFormatting>
  <conditionalFormatting sqref="F1:F11 F53:F1048576">
    <cfRule type="cellIs" dxfId="1" priority="7" operator="equal">
      <formula>65</formula>
    </cfRule>
  </conditionalFormatting>
  <conditionalFormatting sqref="G1:G2 G32:G1048576">
    <cfRule type="cellIs" dxfId="1" priority="8" operator="equal">
      <formula>98</formula>
    </cfRule>
  </conditionalFormatting>
  <conditionalFormatting sqref="G2 G32:G1048576">
    <cfRule type="cellIs" dxfId="0" priority="10" operator="equal">
      <formula>78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Cinderella</cp:lastModifiedBy>
  <dcterms:created xsi:type="dcterms:W3CDTF">2023-07-26T03:13:00Z</dcterms:created>
  <dcterms:modified xsi:type="dcterms:W3CDTF">2023-07-26T08:48:35Z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EBEC084D90CD4E3C9EA238CAF25FCA94_11</vt:lpwstr>
  </property>
  <property fmtid="{D5CDD505-2E9C-101B-9397-08002B2CF9AE}" pid="3" name="KSOProductBuildVer">
    <vt:lpwstr>2052-11.1.0.13703</vt:lpwstr>
  </property>
</Properties>
</file>